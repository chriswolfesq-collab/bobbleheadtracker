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dgers_sga_bobbleheads" sheetId="1" r:id="rId5"/>
  </sheets>
  <definedNames/>
  <calcPr/>
</workbook>
</file>

<file path=xl/sharedStrings.xml><?xml version="1.0" encoding="utf-8"?>
<sst xmlns="http://schemas.openxmlformats.org/spreadsheetml/2006/main" count="242" uniqueCount="182">
  <si>
    <t>Year</t>
  </si>
  <si>
    <t>Date</t>
  </si>
  <si>
    <t>Bobblehead</t>
  </si>
  <si>
    <t>Tommy Lasorda</t>
  </si>
  <si>
    <t>Kirk Gibson</t>
  </si>
  <si>
    <t>Fernando Valenzuela</t>
  </si>
  <si>
    <t>Paul LoDuca</t>
  </si>
  <si>
    <t>Shawn Green</t>
  </si>
  <si>
    <t>Hideo Nomo</t>
  </si>
  <si>
    <t>Eric Gagne</t>
  </si>
  <si>
    <t>Brian Jordan</t>
  </si>
  <si>
    <t>Fred McGriff</t>
  </si>
  <si>
    <t>Eric Gagne 2003 Cy Young</t>
  </si>
  <si>
    <t>Don Newcombe 1956 Cy young</t>
  </si>
  <si>
    <t>Don Drysdale 1962 Cy Young</t>
  </si>
  <si>
    <t>César Izturis</t>
  </si>
  <si>
    <t>Jeff Kent</t>
  </si>
  <si>
    <t>Ron Cey</t>
  </si>
  <si>
    <t>Steve Garvey</t>
  </si>
  <si>
    <t>Nomar Garciaparra</t>
  </si>
  <si>
    <t>Rafael Furcal</t>
  </si>
  <si>
    <t>Russell Martin</t>
  </si>
  <si>
    <t>Tommy Lasorda Hall of Fame Induction</t>
  </si>
  <si>
    <t>Joe Torre</t>
  </si>
  <si>
    <t>Takashi Saito</t>
  </si>
  <si>
    <t>Brad Penny</t>
  </si>
  <si>
    <t>Joe Beimel</t>
  </si>
  <si>
    <t>Casey Blake</t>
  </si>
  <si>
    <t>Manny Ramírez</t>
  </si>
  <si>
    <t>Matt Kemp</t>
  </si>
  <si>
    <t>Manny Ramírez Curtain Call</t>
  </si>
  <si>
    <t>Andre Ethier</t>
  </si>
  <si>
    <t>Jonathan Broxton</t>
  </si>
  <si>
    <t>James Loney</t>
  </si>
  <si>
    <t>Clayton Kershaw</t>
  </si>
  <si>
    <t>Don Mattingly</t>
  </si>
  <si>
    <t>Hong-Chih Kuo</t>
  </si>
  <si>
    <t>Andre Ethier Brooklyn Throwback</t>
  </si>
  <si>
    <t>Fernando Valenzuela Fernandomania</t>
  </si>
  <si>
    <t>Duke Snider</t>
  </si>
  <si>
    <t>Don Drysdale &amp; Maury Wills Cy Young Dual</t>
  </si>
  <si>
    <t>Orel Hershiser 1988 Cy Young</t>
  </si>
  <si>
    <t>Garvey/Lopes/Russell/Cey Quad</t>
  </si>
  <si>
    <t>Mike Scioscia All-Time Dodger Leader Games Caught</t>
  </si>
  <si>
    <t>Eric Karros All-Time Dodger Home Run Leader</t>
  </si>
  <si>
    <t>Hello Kitty Mini Dodger Stadium 50th Anniversary</t>
  </si>
  <si>
    <t>Alston/Lasorda Hall of Fame Managers Dual</t>
  </si>
  <si>
    <t>Kirk Gibson 1988 MVP</t>
  </si>
  <si>
    <t>Sandy Koufax Hall of Fame Inductee</t>
  </si>
  <si>
    <t>Fernando Valenzuela No-Hitter June 29, 1990</t>
  </si>
  <si>
    <t>Vin Scully</t>
  </si>
  <si>
    <t>Hanley Ramírez I See You</t>
  </si>
  <si>
    <t>Jaime Jarrin</t>
  </si>
  <si>
    <t>Don Sutton</t>
  </si>
  <si>
    <t>Sandy Koufax</t>
  </si>
  <si>
    <t>Adrián González</t>
  </si>
  <si>
    <t>Rick Monday Saves the Flag</t>
  </si>
  <si>
    <t>Hello Kitty Mini</t>
  </si>
  <si>
    <t>Magic Johnson</t>
  </si>
  <si>
    <t>Clayton Kershaw Cy Young</t>
  </si>
  <si>
    <t>Yasiel Puig</t>
  </si>
  <si>
    <t>Hyun-Jin Ryu</t>
  </si>
  <si>
    <t>Tommy Lasorda Brooklyn Debut</t>
  </si>
  <si>
    <t>Brian Wilson Fear the Beard</t>
  </si>
  <si>
    <t>Reese &amp; Roy Campanella Campy Night</t>
  </si>
  <si>
    <t>Baker/Cey/Garvey/Smith Original 30-HR Club</t>
  </si>
  <si>
    <t>Zack Greinke</t>
  </si>
  <si>
    <t>A.J. Ellis</t>
  </si>
  <si>
    <t>Babe Ruth</t>
  </si>
  <si>
    <t>Adrián González 2014 Gold Glove</t>
  </si>
  <si>
    <t>Kenley Jansen</t>
  </si>
  <si>
    <t>Maury Wills</t>
  </si>
  <si>
    <t>Juan Uribe</t>
  </si>
  <si>
    <t>Yasiel Puig (Diving)</t>
  </si>
  <si>
    <t>Sandy Koufax Perfect Game</t>
  </si>
  <si>
    <t>Justin Turner</t>
  </si>
  <si>
    <t>Dave Roberts</t>
  </si>
  <si>
    <t>Don Newcombe</t>
  </si>
  <si>
    <t>Dusty Baker</t>
  </si>
  <si>
    <t>Guerrero/Yeager/Cey 1981 Tri-MVP</t>
  </si>
  <si>
    <t>Kenta Maeda</t>
  </si>
  <si>
    <t>Howie Kendrick</t>
  </si>
  <si>
    <t>Corey Seager</t>
  </si>
  <si>
    <t>Corey Seager Rookie of the Year</t>
  </si>
  <si>
    <t>Joc Pederson</t>
  </si>
  <si>
    <t>Justin Turner Series Selfie #1</t>
  </si>
  <si>
    <t>Dave Roberts Manager of the Year</t>
  </si>
  <si>
    <t>Clayton Kershaw (Batting)</t>
  </si>
  <si>
    <t>Gil Hodges</t>
  </si>
  <si>
    <t>Adrián González Series Selfie #2</t>
  </si>
  <si>
    <t>Cody Bellinger</t>
  </si>
  <si>
    <t>Julio Urias</t>
  </si>
  <si>
    <t>Kirk Gibson Special Edition</t>
  </si>
  <si>
    <t>Kirk Gibson Gold Limited Edition (1 of 350)</t>
  </si>
  <si>
    <t>Cody Bellinger Rookie of the Year</t>
  </si>
  <si>
    <t>Justin Turner Walk-Off Home Run</t>
  </si>
  <si>
    <t>Corey Seager Silver Slugger</t>
  </si>
  <si>
    <t>Chris Taylor</t>
  </si>
  <si>
    <t>Manny Mota</t>
  </si>
  <si>
    <t>Kenley Calrissian Star Wars</t>
  </si>
  <si>
    <t>Kike Hernández 2017 NLCS - Game 5</t>
  </si>
  <si>
    <t>Clayton Kershaw 60th Anniversary Retro</t>
  </si>
  <si>
    <t>Alex Wood</t>
  </si>
  <si>
    <t>Rich Hill</t>
  </si>
  <si>
    <t>Chase Utley</t>
  </si>
  <si>
    <t>Dia de Los Dodgers Special Promotion</t>
  </si>
  <si>
    <t>Manny Machado</t>
  </si>
  <si>
    <t>Orel Hershiser 30th Anniversary: Scoreless Inning Streak</t>
  </si>
  <si>
    <t>Justin Turner Los Angeles Dodgers Foundation Run Special Promotion</t>
  </si>
  <si>
    <t>Walker Buehler</t>
  </si>
  <si>
    <t>Cody Bellinger NLCS Walk-Off</t>
  </si>
  <si>
    <t>Don Newcombe Legends of Dodger Baseball</t>
  </si>
  <si>
    <t>Max Muncy</t>
  </si>
  <si>
    <t>Steve Garvey Legends of Dodger Baseball</t>
  </si>
  <si>
    <t>Joe Kelly</t>
  </si>
  <si>
    <t>Clayton Kershaw No Hitter 5-Year Anniversary</t>
  </si>
  <si>
    <t>Hyun Solo Special Promotion</t>
  </si>
  <si>
    <t>Justin Turner 2018 NLCS Game 2</t>
  </si>
  <si>
    <t>Fernando Valenzuela Legends of Dodger Baseball</t>
  </si>
  <si>
    <t>Kiké Hernández</t>
  </si>
  <si>
    <t>Alex Verdugo</t>
  </si>
  <si>
    <t>Día de Los Dodgers Special Promotion</t>
  </si>
  <si>
    <t>Billie Jean King</t>
  </si>
  <si>
    <t>Kenley Jansen Los Angeles Dodgers Foundation Run Special Promotion</t>
  </si>
  <si>
    <t>Cody Bellinger NLDS Game 1 Home/White Uniform</t>
  </si>
  <si>
    <t>Cody Bellinger NLDS Game 1 Away/Grey Uniform</t>
  </si>
  <si>
    <t>Cody Bellinger World Series MVP</t>
  </si>
  <si>
    <t>Star Wars: Orel-Wan Kenobi Special Promotion</t>
  </si>
  <si>
    <t>Corey Seager Los Angeles Dodgers Foundation Run Special Promotion</t>
  </si>
  <si>
    <t>Mookie Betts</t>
  </si>
  <si>
    <t>Corey Seager World Series MVP</t>
  </si>
  <si>
    <t>Maury Wills Legends of Dodger Baseball</t>
  </si>
  <si>
    <t>Will Smith</t>
  </si>
  <si>
    <t>Kirk Gibson Legends of Dodger Baseball</t>
  </si>
  <si>
    <t>Don Drysdale</t>
  </si>
  <si>
    <t>Julio Urías</t>
  </si>
  <si>
    <t>Gil Hodges Hall of Fame</t>
  </si>
  <si>
    <t>Trea Turner</t>
  </si>
  <si>
    <t>Freddie Freeman</t>
  </si>
  <si>
    <t>Mookie Betts Los Angeles Dodgers Foundation Run Special Promotion</t>
  </si>
  <si>
    <t>Día De Los Dodgers Game 1 - Special Promotion</t>
  </si>
  <si>
    <t>Día De Los Dodgers Game 2 - Special Promotion</t>
  </si>
  <si>
    <t>Dustin May</t>
  </si>
  <si>
    <t>Austin Barnes</t>
  </si>
  <si>
    <t>Elton John</t>
  </si>
  <si>
    <t>Mookie Betts (300 Bowl)</t>
  </si>
  <si>
    <t>Justin Turner (Pitching)</t>
  </si>
  <si>
    <t>Manny Mota Legends of Dodger Baseball</t>
  </si>
  <si>
    <t>Mookie Betts (Diving)</t>
  </si>
  <si>
    <t>Gavin Lux</t>
  </si>
  <si>
    <t>Tony Gonsolin</t>
  </si>
  <si>
    <t>Orel Hershiser</t>
  </si>
  <si>
    <t>Hello Kitty</t>
  </si>
  <si>
    <t>Caleb Williams</t>
  </si>
  <si>
    <t>J.D. Martínez</t>
  </si>
  <si>
    <t>LeBron James</t>
  </si>
  <si>
    <t>James Outman &amp; Miguel Vargas</t>
  </si>
  <si>
    <t>Brusdar Graterol</t>
  </si>
  <si>
    <t>Shohei Ohtani</t>
  </si>
  <si>
    <t>Tyler Glasnow</t>
  </si>
  <si>
    <t>Yoshinobu Yamamoto</t>
  </si>
  <si>
    <t>Bobby Miller</t>
  </si>
  <si>
    <t>Jason Hayward (City Connect)</t>
  </si>
  <si>
    <t>Kike Hernandez (Celebration)</t>
  </si>
  <si>
    <t>Teoscar Hernandez</t>
  </si>
  <si>
    <t>Evan Phillips</t>
  </si>
  <si>
    <t>Shohei Ohtani MVP</t>
  </si>
  <si>
    <t>Freddie Freeman (World Series Grand Slam Walkoff)</t>
  </si>
  <si>
    <t>Shohei Ohtani 50/50 (Sliding)</t>
  </si>
  <si>
    <t>Tommy Edman</t>
  </si>
  <si>
    <t>Blake Snell</t>
  </si>
  <si>
    <t>Ice Cube</t>
  </si>
  <si>
    <t>Ron Cey Legends of Dodger Baseball</t>
  </si>
  <si>
    <t>Roki Sasaki</t>
  </si>
  <si>
    <t>Kobe Bryant</t>
  </si>
  <si>
    <t>Blake Treinan</t>
  </si>
  <si>
    <t>Shohei Ohtani 50/50 (Hitting)</t>
  </si>
  <si>
    <t>Kike Hernandez</t>
  </si>
  <si>
    <t>Shohei Ohtani (Pitching)</t>
  </si>
  <si>
    <t>Joe Davis</t>
  </si>
  <si>
    <t>Clayton Kershaw (3000 Strikeouts)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</si>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</sst>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3" fontId="1" numFmtId="0" xfId="0" applyAlignment="1" applyFill="1" applyFont="1">
      <alignment horizontal="left" readingOrder="0"/>
    </xf>
    <xf borderId="0" fillId="3" fontId="1" numFmtId="164" xfId="0" applyAlignment="1" applyFont="1" applyNumberFormat="1">
      <alignment horizontal="left" readingOrder="0"/>
    </xf>
    <xf borderId="0" fillId="3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2.88"/>
    <col customWidth="1" min="3" max="3" width="53.63"/>
    <col customWidth="1" min="4" max="4" width="2.88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2"/>
      <c r="E1" s="2"/>
    </row>
    <row r="2" ht="113.25" customHeight="1">
      <c r="A2" s="3">
        <v>2001.0</v>
      </c>
      <c r="B2" s="4">
        <v>36985.0</v>
      </c>
      <c r="C2" s="3" t="s">
        <v>3</v>
      </c>
      <c r="D2" s="3" t="b">
        <v>1</v>
      </c>
      <c r="E2" s="1" t="str">
        <f>IMAGE("https://img.mlbstatic.com/mlb-images/image/private/t_4x5/t_w372/mlb/tmzcgyrtfltlqloejfol.jpg")</f>
        <v/>
      </c>
    </row>
    <row r="3" ht="113.25" customHeight="1">
      <c r="A3" s="3">
        <v>2001.0</v>
      </c>
      <c r="B3" s="4">
        <v>37051.0</v>
      </c>
      <c r="C3" s="3" t="s">
        <v>4</v>
      </c>
      <c r="D3" s="3" t="b">
        <v>1</v>
      </c>
      <c r="E3" s="1" t="str">
        <f>IMAGE("https://img.mlbstatic.com/mlb-images/image/private/t_4x5/t_w372/mlb/etdbmjpogx046xpjjcrx.jpg")</f>
        <v/>
      </c>
    </row>
    <row r="4" ht="113.25" customHeight="1">
      <c r="A4" s="1">
        <v>2001.0</v>
      </c>
      <c r="B4" s="5">
        <v>37101.0</v>
      </c>
      <c r="C4" s="1" t="s">
        <v>5</v>
      </c>
      <c r="D4" s="1" t="b">
        <v>0</v>
      </c>
      <c r="E4" s="1" t="str">
        <f>IMAGE("https://img.mlbstatic.com/mlb-images/image/private/t_4x5/t_w372/mlb/hhz0ulsdfz4godr8ktmu.jpg")</f>
        <v/>
      </c>
    </row>
    <row r="5" ht="113.25" customHeight="1">
      <c r="A5" s="3">
        <v>2002.0</v>
      </c>
      <c r="B5" s="4">
        <v>37407.0</v>
      </c>
      <c r="C5" s="3" t="s">
        <v>6</v>
      </c>
      <c r="D5" s="3" t="b">
        <v>1</v>
      </c>
      <c r="E5" s="1" t="str">
        <f>IMAGE("https://img.mlbstatic.com/mlb-images/image/private/t_4x5/t_w372/mlb/pj4qzwz0fzflwa3sw4iz.jpg")</f>
        <v/>
      </c>
    </row>
    <row r="6" ht="113.25" customHeight="1">
      <c r="A6" s="3">
        <v>2002.0</v>
      </c>
      <c r="B6" s="4">
        <v>37455.0</v>
      </c>
      <c r="C6" s="3" t="s">
        <v>7</v>
      </c>
      <c r="D6" s="3" t="b">
        <v>1</v>
      </c>
      <c r="E6" s="1" t="str">
        <f>IMAGE("https://img.mlbstatic.com/mlb-images/image/private/t_4x5/t_w372/mlb/fgwykpfhvh1lrgigvi8i.jpg")</f>
        <v/>
      </c>
    </row>
    <row r="7" ht="113.25" customHeight="1">
      <c r="A7" s="3">
        <v>2002.0</v>
      </c>
      <c r="B7" s="4">
        <v>37492.0</v>
      </c>
      <c r="C7" s="3" t="s">
        <v>8</v>
      </c>
      <c r="D7" s="3" t="b">
        <v>1</v>
      </c>
      <c r="E7" s="1" t="str">
        <f>IMAGE("https://img.mlbstatic.com/mlb-images/image/private/t_4x5/t_w372/mlb/vvxqdocflxonmnelprtz.jpg")</f>
        <v/>
      </c>
    </row>
    <row r="8" ht="113.25" customHeight="1">
      <c r="A8" s="3">
        <v>2003.0</v>
      </c>
      <c r="B8" s="4">
        <v>37743.0</v>
      </c>
      <c r="C8" s="3" t="s">
        <v>9</v>
      </c>
      <c r="D8" s="3" t="b">
        <v>1</v>
      </c>
      <c r="E8" s="1" t="str">
        <f>IMAGE("https://img.mlbstatic.com/mlb-images/image/private/t_4x5/t_w372/mlb/a2iiv6jit3niz9hboyog.jpg")</f>
        <v/>
      </c>
    </row>
    <row r="9" ht="113.25" customHeight="1">
      <c r="A9" s="3">
        <v>2003.0</v>
      </c>
      <c r="B9" s="4">
        <v>37803.0</v>
      </c>
      <c r="C9" s="3" t="s">
        <v>10</v>
      </c>
      <c r="D9" s="3" t="b">
        <v>1</v>
      </c>
      <c r="E9" s="1" t="str">
        <f>IMAGE("https://img.mlbstatic.com/mlb-images/image/private/t_4x5/t_w372/mlb/oohsvnf3sadxxs3kdr8a.jpg")</f>
        <v/>
      </c>
    </row>
    <row r="10" ht="113.25" customHeight="1">
      <c r="A10" s="3">
        <v>2003.0</v>
      </c>
      <c r="B10" s="4">
        <v>37876.0</v>
      </c>
      <c r="C10" s="3" t="s">
        <v>11</v>
      </c>
      <c r="D10" s="3" t="b">
        <v>1</v>
      </c>
      <c r="E10" s="1" t="str">
        <f>IMAGE("https://img.mlbstatic.com/mlb-images/image/private/t_4x5/t_w372/mlb/tf7ft39lkru2gjg5iarq.jpg")</f>
        <v/>
      </c>
    </row>
    <row r="11" ht="113.25" customHeight="1">
      <c r="A11" s="1">
        <v>2004.0</v>
      </c>
      <c r="B11" s="5">
        <v>38107.0</v>
      </c>
      <c r="C11" s="1" t="s">
        <v>12</v>
      </c>
      <c r="D11" s="2" t="b">
        <v>0</v>
      </c>
      <c r="E11" s="1" t="str">
        <f>IMAGE("https://img.mlbstatic.com/mlb-images/image/private/t_4x5/t_w372/mlb/ypui3wte7pshfmhbpae2.jpg")</f>
        <v/>
      </c>
    </row>
    <row r="12" ht="113.25" customHeight="1">
      <c r="A12" s="3">
        <v>2004.0</v>
      </c>
      <c r="B12" s="4">
        <v>38191.0</v>
      </c>
      <c r="C12" s="3" t="s">
        <v>13</v>
      </c>
      <c r="D12" s="3" t="b">
        <v>1</v>
      </c>
      <c r="E12" s="1" t="str">
        <f>IMAGE("https://img.mlbstatic.com/mlb-images/image/private/t_4x5/t_w372/mlb/gj0zt2qmn6hnyotlfwun.jpg")</f>
        <v/>
      </c>
    </row>
    <row r="13" ht="113.25" customHeight="1">
      <c r="A13" s="1">
        <v>2004.0</v>
      </c>
      <c r="B13" s="5">
        <v>38219.0</v>
      </c>
      <c r="C13" s="1" t="s">
        <v>14</v>
      </c>
      <c r="D13" s="2" t="b">
        <v>0</v>
      </c>
      <c r="E13" s="1" t="str">
        <f>IMAGE("https://img.mlbstatic.com/mlb-images/image/private/t_4x5/t_w372/mlb/dmcvw9nlw7yqpu6dm20a.jpg")</f>
        <v/>
      </c>
    </row>
    <row r="14" ht="113.25" customHeight="1">
      <c r="A14" s="3">
        <v>2005.0</v>
      </c>
      <c r="B14" s="4">
        <v>38504.0</v>
      </c>
      <c r="C14" s="3" t="s">
        <v>15</v>
      </c>
      <c r="D14" s="3" t="b">
        <v>1</v>
      </c>
      <c r="E14" s="1" t="str">
        <f>IMAGE("https://img.mlbstatic.com/mlb-images/image/private/t_4x5/t_w372/mlb/rzvax7oy3hr4ogjskpto.jpg")</f>
        <v/>
      </c>
    </row>
    <row r="15" ht="113.25" customHeight="1">
      <c r="A15" s="3">
        <v>2005.0</v>
      </c>
      <c r="B15" s="4">
        <v>38624.0</v>
      </c>
      <c r="C15" s="3" t="s">
        <v>16</v>
      </c>
      <c r="D15" s="3" t="b">
        <v>1</v>
      </c>
      <c r="E15" s="1" t="str">
        <f>IMAGE("https://img.mlbstatic.com/mlb-images/image/private/t_4x5/t_w372/mlb/u9ckiumtdzskh6ovy0tw.jpg")</f>
        <v/>
      </c>
    </row>
    <row r="16" ht="113.25" customHeight="1">
      <c r="A16" s="1">
        <v>2006.0</v>
      </c>
      <c r="B16" s="5">
        <v>38870.0</v>
      </c>
      <c r="C16" s="1" t="s">
        <v>17</v>
      </c>
      <c r="D16" s="2" t="b">
        <v>0</v>
      </c>
      <c r="E16" s="1" t="str">
        <f>IMAGE("https://img.mlbstatic.com/mlb-images/image/private/t_4x5/t_w372/mlb/ng0en5xocf9pnpcln2bs.jpg")</f>
        <v/>
      </c>
    </row>
    <row r="17" ht="113.25" customHeight="1">
      <c r="A17" s="3">
        <v>2006.0</v>
      </c>
      <c r="B17" s="4">
        <v>38891.0</v>
      </c>
      <c r="C17" s="3" t="s">
        <v>5</v>
      </c>
      <c r="D17" s="3" t="b">
        <v>1</v>
      </c>
      <c r="E17" s="1" t="str">
        <f>IMAGE("https://img.mlbstatic.com/mlb-images/image/private/t_4x5/t_w372/mlb/i65mz0kohxlnboz7tgkw.jpg")</f>
        <v/>
      </c>
    </row>
    <row r="18" ht="113.25" customHeight="1">
      <c r="A18" s="1">
        <v>2006.0</v>
      </c>
      <c r="B18" s="5">
        <v>38926.0</v>
      </c>
      <c r="C18" s="1" t="s">
        <v>18</v>
      </c>
      <c r="D18" s="2" t="b">
        <v>0</v>
      </c>
      <c r="E18" s="1" t="str">
        <f>IMAGE("https://img.mlbstatic.com/mlb-images/image/private/t_4x5/t_w372/mlb/hyfbvc2wkjxd4fy5s6mg.jpg")</f>
        <v/>
      </c>
    </row>
    <row r="19" ht="113.25" customHeight="1">
      <c r="A19" s="1">
        <v>2007.0</v>
      </c>
      <c r="B19" s="5">
        <v>39198.0</v>
      </c>
      <c r="C19" s="1" t="s">
        <v>19</v>
      </c>
      <c r="D19" s="2" t="b">
        <v>0</v>
      </c>
      <c r="E19" s="1" t="str">
        <f>IMAGE("https://img.mlbstatic.com/mlb-images/image/private/t_4x5/t_w372/mlb/auqad9zsc6ogddn6li6p.jpg")</f>
        <v/>
      </c>
    </row>
    <row r="20" ht="113.25" customHeight="1">
      <c r="A20" s="3">
        <v>2007.0</v>
      </c>
      <c r="B20" s="4">
        <v>39269.0</v>
      </c>
      <c r="C20" s="3" t="s">
        <v>20</v>
      </c>
      <c r="D20" s="3" t="b">
        <v>1</v>
      </c>
      <c r="E20" s="1" t="str">
        <f>IMAGE("https://img.mlbstatic.com/mlb-images/image/private/t_4x5/t_w372/mlb/eskoypu0huajcy5qps65.jpg")</f>
        <v/>
      </c>
    </row>
    <row r="21" ht="113.25" customHeight="1">
      <c r="A21" s="3">
        <v>2007.0</v>
      </c>
      <c r="B21" s="4">
        <v>39296.0</v>
      </c>
      <c r="C21" s="3" t="s">
        <v>21</v>
      </c>
      <c r="D21" s="3" t="b">
        <v>1</v>
      </c>
      <c r="E21" s="1" t="str">
        <f>IMAGE("https://img.mlbstatic.com/mlb-images/image/private/t_4x5/t_w372/mlb/fpoy4ww2gbucivgdfxwr.jpg")</f>
        <v/>
      </c>
    </row>
    <row r="22" ht="113.25" customHeight="1">
      <c r="A22" s="1">
        <v>2007.0</v>
      </c>
      <c r="B22" s="5">
        <v>39339.0</v>
      </c>
      <c r="C22" s="1" t="s">
        <v>22</v>
      </c>
      <c r="D22" s="1" t="b">
        <v>0</v>
      </c>
      <c r="E22" s="1" t="str">
        <f>IMAGE("https://img.mlbstatic.com/mlb-images/image/private/t_4x5/t_w372/mlb/gq0pzvbkx4cqsw8ldtym.jpg")</f>
        <v/>
      </c>
    </row>
    <row r="23" ht="113.25" customHeight="1">
      <c r="A23" s="3">
        <v>2008.0</v>
      </c>
      <c r="B23" s="4">
        <v>39563.0</v>
      </c>
      <c r="C23" s="3" t="s">
        <v>23</v>
      </c>
      <c r="D23" s="3" t="b">
        <v>1</v>
      </c>
      <c r="E23" s="1" t="str">
        <f>IMAGE("https://img.mlbstatic.com/mlb-images/image/private/t_4x5/t_w372/mlb/fpabwouauajhqnpshnzg.jpg")</f>
        <v/>
      </c>
    </row>
    <row r="24" ht="113.25" customHeight="1">
      <c r="A24" s="3">
        <v>2008.0</v>
      </c>
      <c r="B24" s="4">
        <v>39604.0</v>
      </c>
      <c r="C24" s="3" t="s">
        <v>24</v>
      </c>
      <c r="D24" s="3" t="b">
        <v>1</v>
      </c>
      <c r="E24" s="1" t="str">
        <f>IMAGE("https://img.mlbstatic.com/mlb-images/image/private/t_4x5/t_w372/mlb/kwyyaqc2vsgxctn2wafb.jpg")</f>
        <v/>
      </c>
    </row>
    <row r="25" ht="113.25" customHeight="1">
      <c r="A25" s="3">
        <v>2008.0</v>
      </c>
      <c r="B25" s="4">
        <v>39654.0</v>
      </c>
      <c r="C25" s="3" t="s">
        <v>25</v>
      </c>
      <c r="D25" s="3" t="b">
        <v>1</v>
      </c>
      <c r="E25" s="1" t="str">
        <f>IMAGE("https://img.mlbstatic.com/mlb-images/image/private/t_4x5/t_w372/mlb/ixrl2wspdz0jae5htk5e.jpg")</f>
        <v/>
      </c>
    </row>
    <row r="26" ht="113.25" customHeight="1">
      <c r="A26" s="3">
        <v>2008.0</v>
      </c>
      <c r="B26" s="4">
        <v>39681.0</v>
      </c>
      <c r="C26" s="3" t="s">
        <v>26</v>
      </c>
      <c r="D26" s="3" t="b">
        <v>1</v>
      </c>
      <c r="E26" s="1" t="str">
        <f>IMAGE("https://img.mlbstatic.com/mlb-images/image/private/t_4x5/t_w372/mlb/r527tusebgeipiq1l439.jpg")</f>
        <v/>
      </c>
    </row>
    <row r="27" ht="113.25" customHeight="1">
      <c r="A27" s="3">
        <v>2009.0</v>
      </c>
      <c r="B27" s="4">
        <v>39953.0</v>
      </c>
      <c r="C27" s="3" t="s">
        <v>27</v>
      </c>
      <c r="D27" s="3" t="b">
        <v>1</v>
      </c>
      <c r="E27" s="1" t="str">
        <f>IMAGE("https://img.mlbstatic.com/mlb-images/image/private/t_4x5/t_w372/mlb/i3avjxqru4zqn7nan3p7.jpg")</f>
        <v/>
      </c>
    </row>
    <row r="28" ht="113.25" customHeight="1">
      <c r="A28" s="3">
        <v>2009.0</v>
      </c>
      <c r="B28" s="4">
        <v>40016.0</v>
      </c>
      <c r="C28" s="3" t="s">
        <v>28</v>
      </c>
      <c r="D28" s="3" t="b">
        <v>1</v>
      </c>
      <c r="E28" s="1" t="str">
        <f>IMAGE("https://img.mlbstatic.com/mlb-images/image/private/t_4x5/t_w372/mlb/htx62h7dczwk8i0krpnt.jpg")</f>
        <v/>
      </c>
    </row>
    <row r="29" ht="113.25" customHeight="1">
      <c r="A29" s="3">
        <v>2009.0</v>
      </c>
      <c r="B29" s="4">
        <v>40044.0</v>
      </c>
      <c r="C29" s="3" t="s">
        <v>29</v>
      </c>
      <c r="D29" s="3" t="b">
        <v>1</v>
      </c>
      <c r="E29" s="1" t="str">
        <f>IMAGE("https://img.mlbstatic.com/mlb-images/image/private/t_4x5/t_w372/mlb/kk8mducpva3hd7dejs1e.jpg")</f>
        <v/>
      </c>
    </row>
    <row r="30" ht="113.25" customHeight="1">
      <c r="A30" s="1">
        <v>2009.0</v>
      </c>
      <c r="B30" s="5">
        <v>40072.0</v>
      </c>
      <c r="C30" s="1" t="s">
        <v>30</v>
      </c>
      <c r="D30" s="1" t="b">
        <v>0</v>
      </c>
      <c r="E30" s="1" t="str">
        <f>IMAGE("https://img.mlbstatic.com/mlb-images/image/private/t_4x5/t_w372/mlb/g5epqmbgvml5pkxq4j2p.jpg")</f>
        <v/>
      </c>
    </row>
    <row r="31" ht="113.25" customHeight="1">
      <c r="A31" s="1">
        <v>2010.0</v>
      </c>
      <c r="B31" s="5">
        <v>40316.0</v>
      </c>
      <c r="C31" s="1" t="s">
        <v>31</v>
      </c>
      <c r="D31" s="1" t="b">
        <v>0</v>
      </c>
      <c r="E31" s="1" t="str">
        <f>IMAGE("https://img.mlbstatic.com/mlb-images/image/private/t_4x5/t_w372/mlb/gmcsrerfzty5z5an6im3.jpg")</f>
        <v/>
      </c>
    </row>
    <row r="32" ht="113.25" customHeight="1">
      <c r="A32" s="3">
        <v>2010.0</v>
      </c>
      <c r="B32" s="4">
        <v>40337.0</v>
      </c>
      <c r="C32" s="3" t="s">
        <v>32</v>
      </c>
      <c r="D32" s="3" t="b">
        <v>1</v>
      </c>
      <c r="E32" s="1" t="str">
        <f>IMAGE("https://img.mlbstatic.com/mlb-images/image/private/t_4x5/t_w372/mlb/leip2vwaoedv1ehol97a.jpg")</f>
        <v/>
      </c>
    </row>
    <row r="33" ht="113.25" customHeight="1">
      <c r="A33" s="3">
        <v>2010.0</v>
      </c>
      <c r="B33" s="4">
        <v>40379.0</v>
      </c>
      <c r="C33" s="3" t="s">
        <v>33</v>
      </c>
      <c r="D33" s="3" t="b">
        <v>1</v>
      </c>
      <c r="E33" s="1" t="str">
        <f>IMAGE("https://img.mlbstatic.com/mlb-images/image/private/t_4x5/t_w372/mlb/vfaeenzpiewvahtx6bvh.jpg")</f>
        <v/>
      </c>
    </row>
    <row r="34" ht="113.25" customHeight="1">
      <c r="A34" s="1">
        <v>2010.0</v>
      </c>
      <c r="B34" s="5">
        <v>40407.0</v>
      </c>
      <c r="C34" s="1" t="s">
        <v>29</v>
      </c>
      <c r="D34" s="1" t="b">
        <v>0</v>
      </c>
      <c r="E34" s="1" t="str">
        <f>IMAGE("https://img.mlbstatic.com/mlb-images/image/private/t_4x5/t_w372/mlb/ordawwdgdll4fa2fldum.jpg")</f>
        <v/>
      </c>
    </row>
    <row r="35" ht="113.25" customHeight="1">
      <c r="A35" s="1">
        <v>2011.0</v>
      </c>
      <c r="B35" s="5">
        <v>40680.0</v>
      </c>
      <c r="C35" s="1" t="s">
        <v>34</v>
      </c>
      <c r="D35" s="1" t="b">
        <v>0</v>
      </c>
      <c r="E35" s="1" t="str">
        <f>IMAGE("https://img.mlbstatic.com/mlb-images/image/private/t_4x5/t_w372/mlb/lxaqbqttzjaihbjjq8fm.jpg")</f>
        <v/>
      </c>
    </row>
    <row r="36" ht="113.25" customHeight="1">
      <c r="A36" s="3">
        <v>2011.0</v>
      </c>
      <c r="B36" s="4">
        <v>40695.0</v>
      </c>
      <c r="C36" s="3" t="s">
        <v>35</v>
      </c>
      <c r="D36" s="3" t="b">
        <v>1</v>
      </c>
      <c r="E36" s="1" t="str">
        <f>IMAGE("https://img.mlbstatic.com/mlb-images/image/private/t_4x5/t_w372/mlb/sjj65z1eytwcsy0yxdah.jpg")</f>
        <v/>
      </c>
    </row>
    <row r="37" ht="113.25" customHeight="1">
      <c r="A37" s="3">
        <v>2011.0</v>
      </c>
      <c r="B37" s="4">
        <v>40708.0</v>
      </c>
      <c r="C37" s="3" t="s">
        <v>36</v>
      </c>
      <c r="D37" s="3" t="b">
        <v>1</v>
      </c>
      <c r="E37" s="1" t="str">
        <f>IMAGE("https://img.mlbstatic.com/mlb-images/image/private/t_4x5/t_w372/mlb/o0edpri1dk2xuyijr5r7.jpg")</f>
        <v/>
      </c>
    </row>
    <row r="38" ht="113.25" customHeight="1">
      <c r="A38" s="3">
        <v>2011.0</v>
      </c>
      <c r="B38" s="4">
        <v>40731.0</v>
      </c>
      <c r="C38" s="3" t="s">
        <v>37</v>
      </c>
      <c r="D38" s="3" t="b">
        <v>1</v>
      </c>
      <c r="E38" s="1" t="str">
        <f>IMAGE("https://img.mlbstatic.com/mlb-images/image/private/t_4x5/t_w372/mlb/evkwy9cfuy3rfl6yinsw.jpg")</f>
        <v/>
      </c>
    </row>
    <row r="39" ht="113.25" customHeight="1">
      <c r="A39" s="6">
        <v>2011.0</v>
      </c>
      <c r="B39" s="7">
        <v>40750.0</v>
      </c>
      <c r="C39" s="6" t="s">
        <v>38</v>
      </c>
      <c r="D39" s="8" t="b">
        <v>0</v>
      </c>
      <c r="E39" s="1" t="str">
        <f>IMAGE("https://img.mlbstatic.com/mlb-images/image/private/t_4x5/t_w372/mlb/m554mmbrxml5lgoy04dg.jpg")</f>
        <v/>
      </c>
    </row>
    <row r="40" ht="113.25" customHeight="1">
      <c r="A40" s="3">
        <v>2011.0</v>
      </c>
      <c r="B40" s="4">
        <v>40764.0</v>
      </c>
      <c r="C40" s="3" t="s">
        <v>39</v>
      </c>
      <c r="D40" s="3" t="b">
        <v>1</v>
      </c>
      <c r="E40" s="1" t="str">
        <f>IMAGE("https://img.mlbstatic.com/mlb-images/image/private/t_4x5/t_w372/mlb/jxtdot5l7023j5hr4ojk.jpg")</f>
        <v/>
      </c>
    </row>
    <row r="41" ht="113.25" customHeight="1">
      <c r="A41" s="3">
        <v>2012.0</v>
      </c>
      <c r="B41" s="4">
        <v>41027.0</v>
      </c>
      <c r="C41" s="3" t="s">
        <v>40</v>
      </c>
      <c r="D41" s="3" t="b">
        <v>1</v>
      </c>
      <c r="E41" s="1" t="str">
        <f>IMAGE("https://img.mlbstatic.com/mlb-images/image/private/t_4x5/t_w372/mlb/wnugbhep9ved4rcyr62q.jpg")</f>
        <v/>
      </c>
    </row>
    <row r="42" ht="113.25" customHeight="1">
      <c r="A42" s="1">
        <v>2012.0</v>
      </c>
      <c r="B42" s="5">
        <v>41044.0</v>
      </c>
      <c r="C42" s="1" t="s">
        <v>41</v>
      </c>
      <c r="D42" s="1" t="b">
        <v>0</v>
      </c>
      <c r="E42" s="1" t="str">
        <f>IMAGE("https://img.mlbstatic.com/mlb-images/image/private/t_4x5/t_w372/mlb/vp3kuyfegb95rknadblt.jpg")</f>
        <v/>
      </c>
    </row>
    <row r="43" ht="113.25" customHeight="1">
      <c r="A43" s="1">
        <v>2012.0</v>
      </c>
      <c r="B43" s="5">
        <v>41058.0</v>
      </c>
      <c r="C43" s="1" t="s">
        <v>42</v>
      </c>
      <c r="D43" s="1" t="b">
        <v>0</v>
      </c>
      <c r="E43" s="1" t="str">
        <f>IMAGE("https://img.mlbstatic.com/mlb-images/image/private/t_4x5/t_w372/mlb/uz7eag8a7tcuutmftl36.jpg")</f>
        <v/>
      </c>
    </row>
    <row r="44" ht="113.25" customHeight="1">
      <c r="A44" s="3">
        <v>2012.0</v>
      </c>
      <c r="B44" s="4">
        <v>41072.0</v>
      </c>
      <c r="C44" s="3" t="s">
        <v>43</v>
      </c>
      <c r="D44" s="3" t="b">
        <v>1</v>
      </c>
      <c r="E44" s="1" t="str">
        <f>IMAGE("https://img.mlbstatic.com/mlb-images/image/private/t_4x5/t_w372/mlb/ywfpxvvphobidnfwfhg2.jpg")</f>
        <v/>
      </c>
    </row>
    <row r="45" ht="113.25" customHeight="1">
      <c r="A45" s="1">
        <v>2012.0</v>
      </c>
      <c r="B45" s="5">
        <v>41088.0</v>
      </c>
      <c r="C45" s="1" t="s">
        <v>44</v>
      </c>
      <c r="D45" s="2" t="b">
        <v>0</v>
      </c>
      <c r="E45" s="1" t="str">
        <f>IMAGE("https://img.mlbstatic.com/mlb-images/image/private/t_4x5/t_w372/mlb/ufkbucbxt0ramwcbwyrt.jpg")</f>
        <v/>
      </c>
    </row>
    <row r="46" ht="113.25" customHeight="1">
      <c r="A46" s="1">
        <v>2012.0</v>
      </c>
      <c r="B46" s="5">
        <v>41091.0</v>
      </c>
      <c r="C46" s="1" t="s">
        <v>45</v>
      </c>
      <c r="D46" s="2" t="b">
        <v>0</v>
      </c>
      <c r="E46" s="1" t="str">
        <f>IMAGE("https://img.mlbstatic.com/mlb-images/image/private/t_4x5/t_w372/mlb/rpj6onzhpsvfubun9f4g.jpg")</f>
        <v/>
      </c>
    </row>
    <row r="47" ht="113.25" customHeight="1">
      <c r="A47" s="1">
        <v>2012.0</v>
      </c>
      <c r="B47" s="5">
        <v>41104.0</v>
      </c>
      <c r="C47" s="1" t="s">
        <v>46</v>
      </c>
      <c r="D47" s="2" t="b">
        <v>0</v>
      </c>
      <c r="E47" s="1" t="str">
        <f>IMAGE("https://img.mlbstatic.com/mlb-images/image/private/t_4x5/t_w372/mlb/sjo1na7u4jfwif913ouo.jpg")</f>
        <v/>
      </c>
    </row>
    <row r="48" ht="113.25" customHeight="1">
      <c r="A48" s="1">
        <v>2012.0</v>
      </c>
      <c r="B48" s="5">
        <v>41121.0</v>
      </c>
      <c r="C48" s="1" t="s">
        <v>47</v>
      </c>
      <c r="D48" s="2" t="b">
        <v>0</v>
      </c>
      <c r="E48" s="1" t="str">
        <f>IMAGE("https://img.mlbstatic.com/mlb-images/image/private/t_4x5/t_w372/mlb/mrz1jcd9hefjmvrgwpsp.jpg")</f>
        <v/>
      </c>
    </row>
    <row r="49" ht="113.25" customHeight="1">
      <c r="A49" s="1">
        <v>2012.0</v>
      </c>
      <c r="B49" s="5">
        <v>41128.0</v>
      </c>
      <c r="C49" s="1" t="s">
        <v>48</v>
      </c>
      <c r="D49" s="1" t="b">
        <v>0</v>
      </c>
      <c r="E49" s="1" t="str">
        <f>IMAGE("https://img.mlbstatic.com/mlb-images/image/private/t_4x5/t_w372/mlb/zxurtrhenocekgqvxynd.jpg")</f>
        <v/>
      </c>
    </row>
    <row r="50" ht="113.25" customHeight="1">
      <c r="A50" s="6">
        <v>2012.0</v>
      </c>
      <c r="B50" s="7">
        <v>41142.0</v>
      </c>
      <c r="C50" s="6" t="s">
        <v>49</v>
      </c>
      <c r="D50" s="6" t="b">
        <v>0</v>
      </c>
      <c r="E50" s="1" t="str">
        <f>IMAGE("https://img.mlbstatic.com/mlb-images/image/private/t_4x5/t_w372/mlb/pwyumlre6jrrkmssdflg.jpg")</f>
        <v/>
      </c>
    </row>
    <row r="51" ht="113.25" customHeight="1">
      <c r="A51" s="1">
        <v>2012.0</v>
      </c>
      <c r="B51" s="5">
        <v>41151.0</v>
      </c>
      <c r="C51" s="1" t="s">
        <v>50</v>
      </c>
      <c r="D51" s="1" t="b">
        <v>0</v>
      </c>
      <c r="E51" s="1" t="str">
        <f>IMAGE("https://img.mlbstatic.com/mlb-images/image/private/t_4x5/t_w372/mlb/pylr7yrjqyxdg5xaif34.jpg")</f>
        <v/>
      </c>
    </row>
    <row r="52" ht="113.25" customHeight="1">
      <c r="A52" s="3">
        <v>2013.0</v>
      </c>
      <c r="B52" s="4">
        <v>41394.0</v>
      </c>
      <c r="C52" s="3" t="s">
        <v>51</v>
      </c>
      <c r="D52" s="3" t="b">
        <v>1</v>
      </c>
      <c r="E52" s="1" t="str">
        <f>IMAGE("https://img.mlbstatic.com/mlb-images/image/private/t_4x5/t_w372/mlb/cfe2ogzttf9re5hgbyd4.jpg")</f>
        <v/>
      </c>
    </row>
    <row r="53" ht="113.25" customHeight="1">
      <c r="A53" s="3">
        <v>2013.0</v>
      </c>
      <c r="B53" s="4">
        <v>41408.0</v>
      </c>
      <c r="C53" s="3" t="s">
        <v>29</v>
      </c>
      <c r="D53" s="3" t="b">
        <v>1</v>
      </c>
      <c r="E53" s="1" t="str">
        <f>IMAGE("https://img.mlbstatic.com/mlb-images/image/private/t_4x5/t_w372/mlb/kj3g66p2aklbo9vm4hcn.jpg")</f>
        <v/>
      </c>
    </row>
    <row r="54" ht="113.25" customHeight="1">
      <c r="A54" s="1">
        <v>2013.0</v>
      </c>
      <c r="B54" s="5">
        <v>41419.0</v>
      </c>
      <c r="C54" s="1" t="s">
        <v>52</v>
      </c>
      <c r="D54" s="2" t="b">
        <v>0</v>
      </c>
      <c r="E54" s="1" t="str">
        <f>IMAGE("https://img.mlbstatic.com/mlb-images/image/private/t_4x5/t_w372/mlb/ojkfqxlzq6ljvvqhggta.jpg")</f>
        <v/>
      </c>
    </row>
    <row r="55" ht="113.25" customHeight="1">
      <c r="A55" s="1">
        <v>2013.0</v>
      </c>
      <c r="B55" s="5">
        <v>41431.0</v>
      </c>
      <c r="C55" s="1" t="s">
        <v>53</v>
      </c>
      <c r="D55" s="2" t="b">
        <v>0</v>
      </c>
      <c r="E55" s="1" t="str">
        <f>IMAGE("https://img.mlbstatic.com/mlb-images/image/private/t_4x5/t_w372/mlb/zbdhsh4yt84uzmqumxp5.jpg")</f>
        <v/>
      </c>
    </row>
    <row r="56" ht="113.25" customHeight="1">
      <c r="A56" s="3">
        <v>2013.0</v>
      </c>
      <c r="B56" s="4">
        <v>41452.0</v>
      </c>
      <c r="C56" s="3" t="s">
        <v>54</v>
      </c>
      <c r="D56" s="3" t="b">
        <v>1</v>
      </c>
      <c r="E56" s="1" t="str">
        <f>IMAGE("https://img.mlbstatic.com/mlb-images/image/private/t_4x5/t_w372/mlb/aj4ued5hn6x1kptcxv8b.jpg")</f>
        <v/>
      </c>
    </row>
    <row r="57" ht="113.25" customHeight="1">
      <c r="A57" s="3">
        <v>2013.0</v>
      </c>
      <c r="B57" s="4">
        <v>41466.0</v>
      </c>
      <c r="C57" s="3" t="s">
        <v>55</v>
      </c>
      <c r="D57" s="3" t="b">
        <v>1</v>
      </c>
      <c r="E57" s="1" t="str">
        <f>IMAGE("https://img.mlbstatic.com/mlb-images/image/private/t_4x5/t_w372/mlb/nghkyrtttkmv6z7bm3ay.jpg")</f>
        <v/>
      </c>
    </row>
    <row r="58" ht="113.25" customHeight="1">
      <c r="A58" s="3">
        <v>2013.0</v>
      </c>
      <c r="B58" s="4">
        <v>41480.0</v>
      </c>
      <c r="C58" s="3" t="s">
        <v>50</v>
      </c>
      <c r="D58" s="3" t="b">
        <v>1</v>
      </c>
      <c r="E58" s="1" t="str">
        <f>IMAGE("https://img.mlbstatic.com/mlb-images/image/private/t_4x5/t_w372/mlb/r97an5xwxikjh7e46a0z.jpg")</f>
        <v/>
      </c>
    </row>
    <row r="59" ht="113.25" customHeight="1">
      <c r="A59" s="1">
        <v>2013.0</v>
      </c>
      <c r="B59" s="5">
        <v>41496.0</v>
      </c>
      <c r="C59" s="1" t="s">
        <v>8</v>
      </c>
      <c r="D59" s="1" t="b">
        <v>0</v>
      </c>
      <c r="E59" s="1" t="str">
        <f>IMAGE("https://img.mlbstatic.com/mlb-images/image/private/t_4x5/t_w372/mlb/dvihfy2q2l6k7vzk8ghk.jpg")</f>
        <v/>
      </c>
    </row>
    <row r="60" ht="113.25" customHeight="1">
      <c r="A60" s="3">
        <v>2013.0</v>
      </c>
      <c r="B60" s="4">
        <v>41513.0</v>
      </c>
      <c r="C60" s="3" t="s">
        <v>56</v>
      </c>
      <c r="D60" s="3" t="b">
        <v>1</v>
      </c>
      <c r="E60" s="1" t="str">
        <f>IMAGE("https://img.mlbstatic.com/mlb-images/image/private/t_4x5/t_w372/mlb/iyjz2o1gdp6b5avaejqj.jpg")</f>
        <v/>
      </c>
    </row>
    <row r="61" ht="113.25" customHeight="1">
      <c r="A61" s="1">
        <v>2013.0</v>
      </c>
      <c r="B61" s="5">
        <v>41526.0</v>
      </c>
      <c r="C61" s="1" t="s">
        <v>57</v>
      </c>
      <c r="D61" s="2" t="b">
        <v>0</v>
      </c>
      <c r="E61" s="1" t="str">
        <f>IMAGE("https://img.mlbstatic.com/mlb-images/image/private/t_4x5/t_w372/mlb/jpbq0clzyzrilrdhx6nn.jpg")</f>
        <v/>
      </c>
    </row>
    <row r="62" ht="113.25" customHeight="1">
      <c r="A62" s="3">
        <v>2013.0</v>
      </c>
      <c r="B62" s="4">
        <v>41529.0</v>
      </c>
      <c r="C62" s="3" t="s">
        <v>58</v>
      </c>
      <c r="D62" s="3" t="b">
        <v>1</v>
      </c>
      <c r="E62" s="1" t="str">
        <f>IMAGE("https://img.mlbstatic.com/mlb-images/image/private/t_4x5/t_w372/mlb/kwo2boeasmzpspdmzjsc.jpg")</f>
        <v/>
      </c>
    </row>
    <row r="63" ht="113.25" customHeight="1">
      <c r="A63" s="1">
        <v>2014.0</v>
      </c>
      <c r="B63" s="5">
        <v>41753.0</v>
      </c>
      <c r="C63" s="1" t="s">
        <v>59</v>
      </c>
      <c r="D63" s="1" t="b">
        <v>0</v>
      </c>
      <c r="E63" s="1" t="str">
        <f>IMAGE("https://img.mlbstatic.com/mlb-images/image/private/t_4x5/t_w372/mlb/zwdn7cc9qb313uysloyn.jpg")</f>
        <v/>
      </c>
    </row>
    <row r="64" ht="113.25" customHeight="1">
      <c r="A64" s="3">
        <v>2014.0</v>
      </c>
      <c r="B64" s="4">
        <v>41772.0</v>
      </c>
      <c r="C64" s="3" t="s">
        <v>60</v>
      </c>
      <c r="D64" s="3" t="b">
        <v>1</v>
      </c>
      <c r="E64" s="1" t="str">
        <f>IMAGE("https://img.mlbstatic.com/mlb-images/image/private/t_4x5/t_w372/mlb/tp3p33ulecvixz9rcuge.jpg")</f>
        <v/>
      </c>
    </row>
    <row r="65" ht="113.25" customHeight="1">
      <c r="A65" s="1">
        <v>2014.0</v>
      </c>
      <c r="B65" s="5">
        <v>41786.0</v>
      </c>
      <c r="C65" s="1" t="s">
        <v>61</v>
      </c>
      <c r="D65" s="1" t="b">
        <v>0</v>
      </c>
      <c r="E65" s="1" t="str">
        <f>IMAGE("https://img.mlbstatic.com/mlb-images/image/private/t_4x5/t_w372/mlb/ux8meewpljbeont0x1kf.jpg")</f>
        <v/>
      </c>
    </row>
    <row r="66" ht="113.25" customHeight="1">
      <c r="A66" s="1">
        <v>2014.0</v>
      </c>
      <c r="B66" s="5">
        <v>41793.0</v>
      </c>
      <c r="C66" s="1" t="s">
        <v>57</v>
      </c>
      <c r="D66" s="2" t="b">
        <v>0</v>
      </c>
      <c r="E66" s="1" t="str">
        <f>IMAGE("https://img.mlbstatic.com/mlb-images/image/private/t_4x5/t_w372/mlb/ps4wdfrhayq9z1smvylf.jpg")</f>
        <v/>
      </c>
    </row>
    <row r="67" ht="113.25" customHeight="1">
      <c r="A67" s="1">
        <v>2014.0</v>
      </c>
      <c r="B67" s="5">
        <v>41804.0</v>
      </c>
      <c r="C67" s="1" t="s">
        <v>62</v>
      </c>
      <c r="D67" s="2" t="b">
        <v>0</v>
      </c>
      <c r="E67" s="1" t="str">
        <f>IMAGE("https://img.mlbstatic.com/mlb-images/image/private/t_4x5/t_w372/mlb/zgn4fsx2ctxn1s9focsv.jpg")</f>
        <v/>
      </c>
    </row>
    <row r="68" ht="113.25" customHeight="1">
      <c r="A68" s="3">
        <v>2014.0</v>
      </c>
      <c r="B68" s="4">
        <v>41816.0</v>
      </c>
      <c r="C68" s="3" t="s">
        <v>63</v>
      </c>
      <c r="D68" s="3" t="b">
        <v>1</v>
      </c>
      <c r="E68" s="1" t="str">
        <f>IMAGE("https://img.mlbstatic.com/mlb-images/image/private/t_4x5/t_w372/mlb/qta7rofe38eeubv0aaek.jpg")</f>
        <v/>
      </c>
    </row>
    <row r="69" ht="113.25" customHeight="1">
      <c r="A69" s="1">
        <v>2014.0</v>
      </c>
      <c r="B69" s="5">
        <v>41832.0</v>
      </c>
      <c r="C69" s="1" t="s">
        <v>64</v>
      </c>
      <c r="D69" s="2" t="b">
        <v>0</v>
      </c>
      <c r="E69" s="1" t="str">
        <f>IMAGE("https://img.mlbstatic.com/mlb-images/image/private/t_4x5/t_w372/mlb/gkhfw2pwrqqugxylees0.jpg")</f>
        <v/>
      </c>
    </row>
    <row r="70" ht="113.25" customHeight="1">
      <c r="A70" s="3">
        <v>2014.0</v>
      </c>
      <c r="B70" s="4">
        <v>41851.0</v>
      </c>
      <c r="C70" s="3" t="s">
        <v>65</v>
      </c>
      <c r="D70" s="3" t="b">
        <v>1</v>
      </c>
      <c r="E70" s="1" t="str">
        <f>IMAGE("https://img.mlbstatic.com/mlb-images/image/private/t_4x5/t_w372/mlb/puvgcxdpzqf5ghpyftsr.jpg")</f>
        <v/>
      </c>
    </row>
    <row r="71" ht="113.25" customHeight="1">
      <c r="A71" s="3">
        <v>2014.0</v>
      </c>
      <c r="B71" s="4">
        <v>41871.0</v>
      </c>
      <c r="C71" s="3" t="s">
        <v>66</v>
      </c>
      <c r="D71" s="3" t="b">
        <v>1</v>
      </c>
      <c r="E71" s="1" t="str">
        <f>IMAGE("https://img.mlbstatic.com/mlb-images/image/private/t_4x5/t_w372/mlb/u7thxtct24w1loe0qcpx.jpg")</f>
        <v/>
      </c>
    </row>
    <row r="72" ht="113.25" customHeight="1">
      <c r="A72" s="1">
        <v>2014.0</v>
      </c>
      <c r="B72" s="5">
        <v>41884.0</v>
      </c>
      <c r="C72" s="1" t="s">
        <v>58</v>
      </c>
      <c r="D72" s="1" t="b">
        <v>0</v>
      </c>
      <c r="E72" s="1" t="str">
        <f>IMAGE("https://img.mlbstatic.com/mlb-images/image/private/t_4x5/t_w372/mlb/wxfftsp5htyou0qidj9s.jpg")</f>
        <v/>
      </c>
    </row>
    <row r="73" ht="113.25" customHeight="1">
      <c r="A73" s="3">
        <v>2014.0</v>
      </c>
      <c r="B73" s="4">
        <v>41889.0</v>
      </c>
      <c r="C73" s="3" t="s">
        <v>67</v>
      </c>
      <c r="D73" s="3" t="b">
        <v>1</v>
      </c>
      <c r="E73" s="1" t="str">
        <f>IMAGE("https://img.mlbstatic.com/mlb-images/image/private/t_4x5/t_w372/mlb/khyac6gnenujaqtlsjzo.jpg")</f>
        <v/>
      </c>
    </row>
    <row r="74" ht="113.25" customHeight="1">
      <c r="A74" s="3">
        <v>2014.0</v>
      </c>
      <c r="B74" s="4">
        <v>41891.0</v>
      </c>
      <c r="C74" s="3" t="s">
        <v>68</v>
      </c>
      <c r="D74" s="3" t="b">
        <v>1</v>
      </c>
      <c r="E74" s="1" t="str">
        <f>IMAGE("https://img.mlbstatic.com/mlb-images/image/private/t_4x5/t_w372/mlb/ecuowhr3ciuxcpy6mjrq.jpg")</f>
        <v/>
      </c>
    </row>
    <row r="75" ht="113.25" customHeight="1">
      <c r="A75" s="3">
        <v>2015.0</v>
      </c>
      <c r="B75" s="4">
        <v>42136.0</v>
      </c>
      <c r="C75" s="3" t="s">
        <v>34</v>
      </c>
      <c r="D75" s="3" t="b">
        <v>1</v>
      </c>
      <c r="E75" s="1" t="str">
        <f>IMAGE("https://img.mlbstatic.com/mlb-images/image/private/t_4x5/t_w372/mlb/jyi5fsz1oqd4pk5dqvo1.jpg")</f>
        <v/>
      </c>
    </row>
    <row r="76" ht="113.25" customHeight="1">
      <c r="A76" s="1">
        <v>2015.0</v>
      </c>
      <c r="B76" s="5">
        <v>42147.0</v>
      </c>
      <c r="C76" s="1" t="s">
        <v>69</v>
      </c>
      <c r="D76" s="2" t="b">
        <v>0</v>
      </c>
      <c r="E76" s="1" t="str">
        <f>IMAGE("https://img.mlbstatic.com/mlb-images/image/private/t_4x5/t_w372/mlb/cwnapct0qreanj019x0s.jpg")</f>
        <v/>
      </c>
    </row>
    <row r="77" ht="113.25" customHeight="1">
      <c r="A77" s="1">
        <v>2015.0</v>
      </c>
      <c r="B77" s="5">
        <v>42159.0</v>
      </c>
      <c r="C77" s="1" t="s">
        <v>70</v>
      </c>
      <c r="D77" s="2" t="b">
        <v>0</v>
      </c>
      <c r="E77" s="1" t="str">
        <f>IMAGE("https://img.mlbstatic.com/mlb-images/image/private/t_4x5/t_w372/mlb/xv5yytl0m5ulgimfyrkt.jpg")</f>
        <v/>
      </c>
    </row>
    <row r="78" ht="113.25" customHeight="1">
      <c r="A78" s="1">
        <v>2015.0</v>
      </c>
      <c r="B78" s="5">
        <v>42191.0</v>
      </c>
      <c r="C78" s="1" t="s">
        <v>71</v>
      </c>
      <c r="D78" s="2" t="b">
        <v>0</v>
      </c>
      <c r="E78" s="1" t="str">
        <f>IMAGE("https://img.mlbstatic.com/mlb-images/image/private/t_4x5/t_w372/mlb/xatxzwzdirvypqoat5vd.jpg")</f>
        <v/>
      </c>
    </row>
    <row r="79" ht="113.25" customHeight="1">
      <c r="A79" s="1">
        <v>2015.0</v>
      </c>
      <c r="B79" s="5">
        <v>42196.0</v>
      </c>
      <c r="C79" s="1" t="s">
        <v>72</v>
      </c>
      <c r="D79" s="2" t="b">
        <v>0</v>
      </c>
      <c r="E79" s="1" t="str">
        <f>IMAGE("https://img.mlbstatic.com/mlb-images/image/private/t_4x5/t_w372/mlb/codmgtt7dibls8rizmph.jpg")</f>
        <v/>
      </c>
    </row>
    <row r="80" ht="113.25" customHeight="1">
      <c r="A80" s="3">
        <v>2015.0</v>
      </c>
      <c r="B80" s="4">
        <v>42214.0</v>
      </c>
      <c r="C80" s="3" t="s">
        <v>73</v>
      </c>
      <c r="D80" s="3" t="b">
        <v>1</v>
      </c>
      <c r="E80" s="1" t="str">
        <f>IMAGE("https://img.mlbstatic.com/mlb-images/image/private/t_4x5/t_w372/mlb/wtkvz39k8vxwserlogqf.jpg")</f>
        <v/>
      </c>
    </row>
    <row r="81" ht="113.25" customHeight="1">
      <c r="A81" s="1">
        <v>2015.0</v>
      </c>
      <c r="B81" s="5">
        <v>42219.0</v>
      </c>
      <c r="C81" s="1" t="s">
        <v>74</v>
      </c>
      <c r="D81" s="2" t="b">
        <v>0</v>
      </c>
      <c r="E81" s="1" t="str">
        <f>IMAGE("https://img.mlbstatic.com/mlb-images/image/private/t_4x5/t_w372/mlb/g592quqow9qt2rx2kqlx.jpg")</f>
        <v/>
      </c>
    </row>
    <row r="82" ht="113.25" customHeight="1">
      <c r="A82" s="1">
        <v>2015.0</v>
      </c>
      <c r="B82" s="5">
        <v>42248.0</v>
      </c>
      <c r="C82" s="1" t="s">
        <v>75</v>
      </c>
      <c r="D82" s="2" t="b">
        <v>0</v>
      </c>
      <c r="E82" s="1" t="str">
        <f>IMAGE("https://img.mlbstatic.com/mlb-images/image/private/t_4x5/t_w372/mlb/uoiopazhkd1yvqjalivm.jpg")</f>
        <v/>
      </c>
    </row>
    <row r="83" ht="113.25" customHeight="1">
      <c r="A83" s="1">
        <v>2015.0</v>
      </c>
      <c r="B83" s="5">
        <v>42263.0</v>
      </c>
      <c r="C83" s="1" t="s">
        <v>5</v>
      </c>
      <c r="D83" s="2" t="b">
        <v>0</v>
      </c>
      <c r="E83" s="1" t="str">
        <f>IMAGE("https://img.mlbstatic.com/mlb-images/image/private/t_4x5/t_w372/mlb/ikno4kq4bdarhn3qkghz.jpg")</f>
        <v/>
      </c>
    </row>
    <row r="84" ht="113.25" customHeight="1">
      <c r="A84" s="1">
        <v>2015.0</v>
      </c>
      <c r="B84" s="5">
        <v>42270.0</v>
      </c>
      <c r="C84" s="1" t="s">
        <v>50</v>
      </c>
      <c r="D84" s="1" t="b">
        <v>0</v>
      </c>
      <c r="E84" s="1" t="str">
        <f>IMAGE("https://img.mlbstatic.com/mlb-images/image/private/t_4x5/t_w372/mlb/pkoktxk9xdk3qiosiejr.jpg")</f>
        <v/>
      </c>
    </row>
    <row r="85" ht="113.25" customHeight="1">
      <c r="A85" s="1">
        <v>2016.0</v>
      </c>
      <c r="B85" s="5">
        <v>42485.0</v>
      </c>
      <c r="C85" s="1" t="s">
        <v>34</v>
      </c>
      <c r="D85" s="2" t="b">
        <v>0</v>
      </c>
      <c r="E85" s="1" t="str">
        <f>IMAGE("https://img.mlbstatic.com/mlb-images/image/private/t_4x5/t_w372/mlb/xbvnurpsnaoxqkrfhesa.jpg")</f>
        <v/>
      </c>
    </row>
    <row r="86" ht="113.25" customHeight="1">
      <c r="A86" s="1">
        <v>2016.0</v>
      </c>
      <c r="B86" s="5">
        <v>42501.0</v>
      </c>
      <c r="C86" s="1" t="s">
        <v>76</v>
      </c>
      <c r="D86" s="2" t="b">
        <v>0</v>
      </c>
      <c r="E86" s="1" t="str">
        <f>IMAGE("https://img.mlbstatic.com/mlb-images/image/private/t_4x5/t_w372/mlb/rlkpadffumo1af3ylg1g.jpg")</f>
        <v/>
      </c>
    </row>
    <row r="87" ht="113.25" customHeight="1">
      <c r="A87" s="1">
        <v>2016.0</v>
      </c>
      <c r="B87" s="5">
        <v>42515.0</v>
      </c>
      <c r="C87" s="1" t="s">
        <v>55</v>
      </c>
      <c r="D87" s="2" t="b">
        <v>0</v>
      </c>
      <c r="E87" s="1" t="str">
        <f>IMAGE("https://img.mlbstatic.com/mlb-images/image/private/t_4x5/t_w372/mlb/ynqdzvevjen8bmimzquw.jpg")</f>
        <v/>
      </c>
    </row>
    <row r="88" ht="113.25" customHeight="1">
      <c r="A88" s="1">
        <v>2016.0</v>
      </c>
      <c r="B88" s="5">
        <v>42529.0</v>
      </c>
      <c r="C88" s="1" t="s">
        <v>77</v>
      </c>
      <c r="D88" s="2" t="b">
        <v>0</v>
      </c>
      <c r="E88" s="1" t="str">
        <f>IMAGE("https://img.mlbstatic.com/mlb-images/image/private/t_4x5/t_w372/mlb/xdj3agyss2ha7bmqebnm.jpg")</f>
        <v/>
      </c>
    </row>
    <row r="89" ht="113.25" customHeight="1">
      <c r="A89" s="3">
        <v>2016.0</v>
      </c>
      <c r="B89" s="4">
        <v>42543.0</v>
      </c>
      <c r="C89" s="3" t="s">
        <v>78</v>
      </c>
      <c r="D89" s="3" t="b">
        <v>1</v>
      </c>
      <c r="E89" s="1" t="str">
        <f>IMAGE("https://img.mlbstatic.com/mlb-images/image/private/t_4x5/t_w372/mlb/ijeowsral6acfbgpic00.jpg")</f>
        <v/>
      </c>
    </row>
    <row r="90" ht="113.25" customHeight="1">
      <c r="A90" s="1">
        <v>2016.0</v>
      </c>
      <c r="B90" s="5">
        <v>42553.0</v>
      </c>
      <c r="C90" s="1" t="s">
        <v>79</v>
      </c>
      <c r="D90" s="2" t="b">
        <v>0</v>
      </c>
      <c r="E90" s="1" t="str">
        <f>IMAGE("https://img.mlbstatic.com/mlb-images/image/private/t_4x5/t_w372/mlb/f72tnaziwzqloeonid2w.jpg")</f>
        <v/>
      </c>
    </row>
    <row r="91" ht="113.25" customHeight="1">
      <c r="A91" s="1">
        <v>2016.0</v>
      </c>
      <c r="B91" s="5">
        <v>42577.0</v>
      </c>
      <c r="C91" s="1" t="s">
        <v>80</v>
      </c>
      <c r="D91" s="2" t="b">
        <v>0</v>
      </c>
      <c r="E91" s="1" t="str">
        <f>IMAGE("https://img.mlbstatic.com/mlb-images/image/private/t_4x5/t_w372/mlb/ort0o8ss25c3vnzsufby.jpg")</f>
        <v/>
      </c>
    </row>
    <row r="92" ht="113.25" customHeight="1">
      <c r="A92" s="1">
        <v>2016.0</v>
      </c>
      <c r="B92" s="5">
        <v>42591.0</v>
      </c>
      <c r="C92" s="1" t="s">
        <v>81</v>
      </c>
      <c r="D92" s="2" t="b">
        <v>0</v>
      </c>
      <c r="E92" s="1" t="str">
        <f>IMAGE("https://img.mlbstatic.com/mlb-images/image/private/t_4x5/t_w372/mlb/s6y85lbafnzjlhcznpqx.jpg")</f>
        <v/>
      </c>
    </row>
    <row r="93" ht="113.25" customHeight="1">
      <c r="A93" s="1">
        <v>2016.0</v>
      </c>
      <c r="B93" s="5">
        <v>42607.0</v>
      </c>
      <c r="C93" s="1" t="s">
        <v>82</v>
      </c>
      <c r="D93" s="2" t="b">
        <v>0</v>
      </c>
      <c r="E93" s="1" t="str">
        <f>IMAGE("https://img.mlbstatic.com/mlb-images/image/private/t_4x5/t_w372/mlb/nwp3kwveuglfwgok6nov.jpg")</f>
        <v/>
      </c>
    </row>
    <row r="94" ht="113.25" customHeight="1">
      <c r="A94" s="3">
        <v>2016.0</v>
      </c>
      <c r="B94" s="4">
        <v>42633.0</v>
      </c>
      <c r="C94" s="3" t="s">
        <v>50</v>
      </c>
      <c r="D94" s="3" t="b">
        <v>1</v>
      </c>
      <c r="E94" s="1" t="str">
        <f>IMAGE("https://img.mlbstatic.com/mlb-images/image/private/t_4x5/t_w372/mlb/cagrjorfmkntxakq9mhw.jpg")</f>
        <v/>
      </c>
    </row>
    <row r="95" ht="113.25" customHeight="1">
      <c r="A95" s="1">
        <v>2017.0</v>
      </c>
      <c r="B95" s="5">
        <v>42854.0</v>
      </c>
      <c r="C95" s="1" t="s">
        <v>83</v>
      </c>
      <c r="D95" s="2" t="b">
        <v>0</v>
      </c>
      <c r="E95" s="1" t="str">
        <f>IMAGE("https://img.mlbstatic.com/mlb-images/image/private/t_4x5/t_w372/mlb/mwltmibiptybx34cyphn.jpg")</f>
        <v/>
      </c>
    </row>
    <row r="96" ht="113.25" customHeight="1">
      <c r="A96" s="3">
        <v>2017.0</v>
      </c>
      <c r="B96" s="4">
        <v>42865.0</v>
      </c>
      <c r="C96" s="3" t="s">
        <v>70</v>
      </c>
      <c r="D96" s="3" t="b">
        <v>1</v>
      </c>
      <c r="E96" s="1" t="str">
        <f>IMAGE("https://img.mlbstatic.com/mlb-images/image/private/t_4x5/t_w372/mlb/gbw6zh65nrti31vlgytq.jpg")</f>
        <v/>
      </c>
    </row>
    <row r="97" ht="113.25" customHeight="1">
      <c r="A97" s="1">
        <v>2017.0</v>
      </c>
      <c r="B97" s="5">
        <v>42878.0</v>
      </c>
      <c r="C97" s="1" t="s">
        <v>84</v>
      </c>
      <c r="D97" s="2" t="b">
        <v>0</v>
      </c>
      <c r="E97" s="1" t="str">
        <f>IMAGE("https://img.mlbstatic.com/mlb-images/image/private/t_4x5/t_w372/mlb/mefnerwfrqzfcapxi78a.jpg")</f>
        <v/>
      </c>
    </row>
    <row r="98" ht="113.25" customHeight="1">
      <c r="A98" s="1">
        <v>2017.0</v>
      </c>
      <c r="B98" s="5">
        <v>42892.0</v>
      </c>
      <c r="C98" s="1" t="s">
        <v>85</v>
      </c>
      <c r="D98" s="2" t="b">
        <v>0</v>
      </c>
      <c r="E98" s="1" t="str">
        <f>IMAGE("https://img.mlbstatic.com/mlb-images/image/private/t_4x5/t_w372/mlb/hltxnmywh1w718r8rrgr.jpg")</f>
        <v/>
      </c>
    </row>
    <row r="99" ht="113.25" customHeight="1">
      <c r="A99" s="3">
        <v>2017.0</v>
      </c>
      <c r="B99" s="4">
        <v>42907.0</v>
      </c>
      <c r="C99" s="3" t="s">
        <v>31</v>
      </c>
      <c r="D99" s="3" t="b">
        <v>1</v>
      </c>
      <c r="E99" s="1" t="str">
        <f>IMAGE("https://img.mlbstatic.com/mlb-images/image/private/t_4x5/t_w372/mlb/uudvttz1k6nse8hcmguj.jpg")</f>
        <v/>
      </c>
    </row>
    <row r="100" ht="113.25" customHeight="1">
      <c r="A100" s="3">
        <v>2017.0</v>
      </c>
      <c r="B100" s="4">
        <v>42922.0</v>
      </c>
      <c r="C100" s="3" t="s">
        <v>86</v>
      </c>
      <c r="D100" s="3" t="b">
        <v>1</v>
      </c>
      <c r="E100" s="1" t="str">
        <f>IMAGE("https://img.mlbstatic.com/mlb-images/image/private/t_4x5/t_w372/mlb/neqg3v6im68dqxxyffck.jpg")</f>
        <v/>
      </c>
    </row>
    <row r="101" ht="113.25" customHeight="1">
      <c r="A101" s="1">
        <v>2017.0</v>
      </c>
      <c r="B101" s="5">
        <v>42942.0</v>
      </c>
      <c r="C101" s="1" t="s">
        <v>87</v>
      </c>
      <c r="D101" s="2" t="b">
        <v>0</v>
      </c>
      <c r="E101" s="1" t="str">
        <f>IMAGE("https://img.mlbstatic.com/mlb-images/image/private/t_4x5/t_w372/mlb/nmc8zxr3679ea1m2ejvw.jpg")</f>
        <v/>
      </c>
    </row>
    <row r="102" ht="113.25" customHeight="1">
      <c r="A102" s="1">
        <v>2017.0</v>
      </c>
      <c r="B102" s="5">
        <v>42962.0</v>
      </c>
      <c r="C102" s="1" t="s">
        <v>88</v>
      </c>
      <c r="D102" s="2" t="b">
        <v>0</v>
      </c>
      <c r="E102" s="1" t="str">
        <f>IMAGE("https://img.mlbstatic.com/mlb-images/image/private/t_4x5/t_w372/mlb/ebbly3csbngrsl06euzt.jpg")</f>
        <v/>
      </c>
    </row>
    <row r="103" ht="113.25" customHeight="1">
      <c r="A103" s="1">
        <v>2017.0</v>
      </c>
      <c r="B103" s="5">
        <v>42984.0</v>
      </c>
      <c r="C103" s="1" t="s">
        <v>89</v>
      </c>
      <c r="D103" s="2" t="b">
        <v>0</v>
      </c>
      <c r="E103" s="1" t="str">
        <f>IMAGE("https://img.mlbstatic.com/mlb-images/image/private/t_4x5/t_w372/mlb/v9luugfbvfxm9ra6s1ms.jpg")</f>
        <v/>
      </c>
    </row>
    <row r="104" ht="113.25" customHeight="1">
      <c r="A104" s="1">
        <v>2017.0</v>
      </c>
      <c r="B104" s="5">
        <v>42986.0</v>
      </c>
      <c r="C104" s="1" t="s">
        <v>90</v>
      </c>
      <c r="D104" s="1" t="b">
        <v>0</v>
      </c>
      <c r="E104" s="1" t="str">
        <f>IMAGE("https://img.mlbstatic.com/mlb-images/image/private/t_4x5/t_w372/mlb/dwezqhpfjejzoqfqikj9.jpg")</f>
        <v/>
      </c>
    </row>
    <row r="105" ht="113.25" customHeight="1">
      <c r="A105" s="1">
        <v>2017.0</v>
      </c>
      <c r="B105" s="5">
        <v>43004.0</v>
      </c>
      <c r="C105" s="1" t="s">
        <v>91</v>
      </c>
      <c r="D105" s="2" t="b">
        <v>0</v>
      </c>
      <c r="E105" s="1" t="str">
        <f>IMAGE("https://img.mlbstatic.com/mlb-images/image/private/t_4x5/t_w372/mlb/wnodci1cqdmegzch36jk.jpg")</f>
        <v/>
      </c>
    </row>
    <row r="106" ht="113.25" customHeight="1">
      <c r="A106" s="6">
        <v>2018.0</v>
      </c>
      <c r="B106" s="7">
        <v>43189.0</v>
      </c>
      <c r="C106" s="6" t="s">
        <v>92</v>
      </c>
      <c r="D106" s="8" t="b">
        <v>0</v>
      </c>
      <c r="E106" s="1" t="str">
        <f>IMAGE("https://img.mlbstatic.com/mlb-images/image/private/t_4x5/t_w372/mlb/pqyeaznkbp5wglq8ybtz.jpg")</f>
        <v/>
      </c>
    </row>
    <row r="107" ht="113.25" customHeight="1">
      <c r="A107" s="6">
        <v>2018.0</v>
      </c>
      <c r="B107" s="7">
        <v>43189.0</v>
      </c>
      <c r="C107" s="6" t="s">
        <v>93</v>
      </c>
      <c r="D107" s="8" t="b">
        <v>0</v>
      </c>
      <c r="E107" s="1" t="str">
        <f>IMAGE("https://img.mlbstatic.com/mlb-images/image/private/t_4x5/t_w372/mlb/qug88icdb1ydqwebmu3x.jpg")</f>
        <v/>
      </c>
    </row>
    <row r="108" ht="113.25" customHeight="1">
      <c r="A108" s="1">
        <v>2018.0</v>
      </c>
      <c r="B108" s="5">
        <v>43211.0</v>
      </c>
      <c r="C108" s="1" t="s">
        <v>94</v>
      </c>
      <c r="D108" s="2" t="b">
        <v>0</v>
      </c>
      <c r="E108" s="1" t="str">
        <f>IMAGE("https://img.mlbstatic.com/mlb-images/image/private/t_4x5/t_w372/mlb/j11hgarxenu2rs4bxcve.jpg")</f>
        <v/>
      </c>
    </row>
    <row r="109" ht="113.25" customHeight="1">
      <c r="A109" s="6">
        <v>2018.0</v>
      </c>
      <c r="B109" s="7">
        <v>43229.0</v>
      </c>
      <c r="C109" s="6" t="s">
        <v>95</v>
      </c>
      <c r="D109" s="8" t="b">
        <v>0</v>
      </c>
      <c r="E109" s="1" t="str">
        <f>IMAGE("https://img.mlbstatic.com/mlb-images/image/private/t_4x5/t_w372/mlb/y7gbwcq3grlbje4dua0h.jpg")</f>
        <v/>
      </c>
    </row>
    <row r="110" ht="113.25" customHeight="1">
      <c r="A110" s="1">
        <v>2018.0</v>
      </c>
      <c r="B110" s="5">
        <v>43242.0</v>
      </c>
      <c r="C110" s="1" t="s">
        <v>96</v>
      </c>
      <c r="D110" s="2" t="b">
        <v>0</v>
      </c>
      <c r="E110" s="1" t="str">
        <f>IMAGE("https://img.mlbstatic.com/mlb-images/image/private/t_4x5/t_w372/mlb/achc1zvu5dtp0tgtuyla.jpg")</f>
        <v/>
      </c>
    </row>
    <row r="111" ht="113.25" customHeight="1">
      <c r="A111" s="1">
        <v>2018.0</v>
      </c>
      <c r="B111" s="5">
        <v>43250.0</v>
      </c>
      <c r="C111" s="1" t="s">
        <v>97</v>
      </c>
      <c r="D111" s="2" t="b">
        <v>0</v>
      </c>
      <c r="E111" s="1" t="str">
        <f>IMAGE("https://img.mlbstatic.com/mlb-images/image/private/t_4x5/t_w372/mlb/pbgxd6b7gitwrhf4z7nq.jpg")</f>
        <v/>
      </c>
    </row>
    <row r="112" ht="113.25" customHeight="1">
      <c r="A112" s="1">
        <v>2018.0</v>
      </c>
      <c r="B112" s="5">
        <v>43260.0</v>
      </c>
      <c r="C112" s="1" t="s">
        <v>98</v>
      </c>
      <c r="D112" s="2" t="b">
        <v>0</v>
      </c>
      <c r="E112" s="1" t="str">
        <f>IMAGE("https://img.mlbstatic.com/mlb-images/image/private/t_4x5/t_w372/mlb/tejhjjqxqyk6xo4ahiqq.jpg")</f>
        <v/>
      </c>
    </row>
    <row r="113" ht="113.25" customHeight="1">
      <c r="A113" s="1">
        <v>2018.0</v>
      </c>
      <c r="B113" s="5">
        <v>43266.0</v>
      </c>
      <c r="C113" s="1" t="s">
        <v>99</v>
      </c>
      <c r="D113" s="2" t="b">
        <v>0</v>
      </c>
      <c r="E113" s="1" t="str">
        <f>IMAGE("https://img.mlbstatic.com/mlb-images/image/private/t_4x5/t_w372/mlb/wde2xgaytua41qzkb7vx.jpg")</f>
        <v/>
      </c>
    </row>
    <row r="114" ht="113.25" customHeight="1">
      <c r="A114" s="1">
        <v>2018.0</v>
      </c>
      <c r="B114" s="5">
        <v>43277.0</v>
      </c>
      <c r="C114" s="1" t="s">
        <v>100</v>
      </c>
      <c r="D114" s="2" t="b">
        <v>0</v>
      </c>
      <c r="E114" s="1" t="str">
        <f>IMAGE("https://img.mlbstatic.com/mlb-images/image/private/t_4x5/t_w372/mlb/pkioem05fcjdgoreujkp.jpg")</f>
        <v/>
      </c>
    </row>
    <row r="115" ht="113.25" customHeight="1">
      <c r="A115" s="3">
        <v>2018.0</v>
      </c>
      <c r="B115" s="4">
        <v>43295.0</v>
      </c>
      <c r="C115" s="3" t="s">
        <v>101</v>
      </c>
      <c r="D115" s="3" t="b">
        <v>1</v>
      </c>
      <c r="E115" s="1" t="str">
        <f>IMAGE("https://img.mlbstatic.com/mlb-images/image/private/t_4x5/t_w372/mlb/ywbqgafgb31emmnhwbyw.jpg")</f>
        <v/>
      </c>
    </row>
    <row r="116" ht="113.25" customHeight="1">
      <c r="A116" s="3">
        <v>2018.0</v>
      </c>
      <c r="B116" s="4">
        <v>43312.0</v>
      </c>
      <c r="C116" s="3" t="s">
        <v>102</v>
      </c>
      <c r="D116" s="3" t="b">
        <v>1</v>
      </c>
      <c r="E116" s="1" t="str">
        <f>IMAGE("https://img.mlbstatic.com/mlb-images/image/private/t_4x5/t_w372/mlb/crmpuvg4vc6qnkeum4d3.jpg")</f>
        <v/>
      </c>
    </row>
    <row r="117" ht="113.25" customHeight="1">
      <c r="A117" s="3">
        <v>2018.0</v>
      </c>
      <c r="B117" s="4">
        <v>43326.0</v>
      </c>
      <c r="C117" s="3" t="s">
        <v>103</v>
      </c>
      <c r="D117" s="3" t="b">
        <v>1</v>
      </c>
      <c r="E117" s="1" t="str">
        <f>IMAGE("https://img.mlbstatic.com/mlb-images/image/private/t_4x5/t_w372/mlb/zipjste7vscdtuxm5k3e.jpg")</f>
        <v/>
      </c>
    </row>
    <row r="118" ht="113.25" customHeight="1">
      <c r="A118" s="1">
        <v>2018.0</v>
      </c>
      <c r="B118" s="5">
        <v>43334.0</v>
      </c>
      <c r="C118" s="1" t="s">
        <v>104</v>
      </c>
      <c r="D118" s="2" t="b">
        <v>0</v>
      </c>
      <c r="E118" s="1" t="str">
        <f>IMAGE("https://img.mlbstatic.com/mlb-images/image/private/t_4x5/t_w372/mlb/bmhumlk8vyurjgag1ldt.jpg")</f>
        <v/>
      </c>
    </row>
    <row r="119" ht="113.25" customHeight="1">
      <c r="A119" s="1">
        <v>2018.0</v>
      </c>
      <c r="B119" s="5">
        <v>43361.0</v>
      </c>
      <c r="C119" s="1" t="s">
        <v>29</v>
      </c>
      <c r="D119" s="2" t="b">
        <v>0</v>
      </c>
      <c r="E119" s="1" t="str">
        <f>IMAGE("https://img.mlbstatic.com/mlb-images/image/private/t_4x5/t_w372/mlb/gitf4fnoopyiunh5m1jm.jpg")</f>
        <v/>
      </c>
    </row>
    <row r="120" ht="113.25" customHeight="1">
      <c r="A120" s="1">
        <v>2018.0</v>
      </c>
      <c r="B120" s="5">
        <v>43362.0</v>
      </c>
      <c r="C120" s="1" t="s">
        <v>105</v>
      </c>
      <c r="D120" s="2" t="b">
        <v>0</v>
      </c>
      <c r="E120" s="1" t="str">
        <f>IMAGE("https://img.mlbstatic.com/mlb-images/image/private/t_4x5/t_w372/mlb/xgjmfxioxmamvwzlmatf.jpg")</f>
        <v/>
      </c>
    </row>
    <row r="121" ht="113.25" customHeight="1">
      <c r="A121" s="1">
        <v>2018.0</v>
      </c>
      <c r="B121" s="5">
        <v>43365.0</v>
      </c>
      <c r="C121" s="1" t="s">
        <v>106</v>
      </c>
      <c r="D121" s="2" t="b">
        <v>0</v>
      </c>
      <c r="E121" s="1" t="str">
        <f>IMAGE("https://img.mlbstatic.com/mlb-images/image/private/t_4x5/t_w372/mlb/rkyeb29bmmi4gvlbsmxm.jpg")</f>
        <v/>
      </c>
    </row>
    <row r="122" ht="113.25" customHeight="1">
      <c r="A122" s="1">
        <v>2018.0</v>
      </c>
      <c r="B122" s="5">
        <v>43366.0</v>
      </c>
      <c r="C122" s="1" t="s">
        <v>107</v>
      </c>
      <c r="D122" s="2" t="b">
        <v>0</v>
      </c>
      <c r="E122" s="1" t="str">
        <f>IMAGE("https://img.mlbstatic.com/mlb-images/image/private/t_4x5/t_w372/mlb/ojtf9svqkladtbvchhny.jpg")</f>
        <v/>
      </c>
    </row>
    <row r="123" ht="113.25" customHeight="1">
      <c r="A123" s="1">
        <v>2018.0</v>
      </c>
      <c r="B123" s="5">
        <v>43373.0</v>
      </c>
      <c r="C123" s="1" t="s">
        <v>108</v>
      </c>
      <c r="D123" s="2" t="b">
        <v>0</v>
      </c>
      <c r="E123" s="1" t="str">
        <f>IMAGE("https://img.mlbstatic.com/mlb-images/image/private/t_4x5/t_w372/mlb/asy3nnuntsvnjvnesisz.jpg")</f>
        <v/>
      </c>
    </row>
    <row r="124" ht="113.25" customHeight="1">
      <c r="A124" s="1">
        <v>2019.0</v>
      </c>
      <c r="B124" s="5">
        <v>43554.0</v>
      </c>
      <c r="C124" s="1" t="s">
        <v>109</v>
      </c>
      <c r="D124" s="2" t="b">
        <v>0</v>
      </c>
      <c r="E124" s="1" t="str">
        <f>IMAGE("https://img.mlbstatic.com/mlb-images/image/private/t_4x5/t_w372/mlb/wgo7vh4zgfrpg7mjfxu6.jpg")</f>
        <v/>
      </c>
    </row>
    <row r="125" ht="113.25" customHeight="1">
      <c r="A125" s="1">
        <v>2019.0</v>
      </c>
      <c r="B125" s="5">
        <v>43568.0</v>
      </c>
      <c r="C125" s="1" t="s">
        <v>110</v>
      </c>
      <c r="D125" s="2" t="b">
        <v>0</v>
      </c>
      <c r="E125" s="1" t="str">
        <f>IMAGE("https://img.mlbstatic.com/mlb-images/image/private/t_4x5/t_w372/mlb/amgv35qvmlabzho4fss4.jpg")</f>
        <v/>
      </c>
    </row>
    <row r="126" ht="113.25" customHeight="1">
      <c r="A126" s="1">
        <v>2019.0</v>
      </c>
      <c r="B126" s="5">
        <v>43582.0</v>
      </c>
      <c r="C126" s="1" t="s">
        <v>111</v>
      </c>
      <c r="D126" s="2" t="b">
        <v>0</v>
      </c>
      <c r="E126" s="1" t="str">
        <f>IMAGE("https://img.mlbstatic.com/mlb-images/image/private/t_4x5/t_w372/mlb/xixwjaej9skowkq9lddl.jpg")</f>
        <v/>
      </c>
    </row>
    <row r="127" ht="113.25" customHeight="1">
      <c r="A127" s="1">
        <v>2019.0</v>
      </c>
      <c r="B127" s="5">
        <v>43594.0</v>
      </c>
      <c r="C127" s="1" t="s">
        <v>82</v>
      </c>
      <c r="D127" s="2" t="b">
        <v>0</v>
      </c>
      <c r="E127" s="1" t="str">
        <f>IMAGE("https://img.mlbstatic.com/mlb-images/image/private/t_4x5/t_w372/mlb/wzuyx97mcwjxz0nuzeiq.jpg")</f>
        <v/>
      </c>
    </row>
    <row r="128" ht="113.25" customHeight="1">
      <c r="A128" s="1">
        <v>2019.0</v>
      </c>
      <c r="B128" s="5">
        <v>43600.0</v>
      </c>
      <c r="C128" s="1" t="s">
        <v>112</v>
      </c>
      <c r="D128" s="2" t="b">
        <v>0</v>
      </c>
      <c r="E128" s="1" t="str">
        <f>IMAGE("https://img.mlbstatic.com/mlb-images/image/private/t_4x5/t_w372/mlb/detbvr6wvl5n8h22gzyy.jpg")</f>
        <v/>
      </c>
    </row>
    <row r="129" ht="113.25" customHeight="1">
      <c r="A129" s="1">
        <v>2019.0</v>
      </c>
      <c r="B129" s="5">
        <v>43617.0</v>
      </c>
      <c r="C129" s="1" t="s">
        <v>113</v>
      </c>
      <c r="D129" s="2" t="b">
        <v>0</v>
      </c>
      <c r="E129" s="1" t="str">
        <f>IMAGE("https://img.mlbstatic.com/mlb-images/image/private/t_4x5/t_w372/mlb/wksxmbnsxa885rtgeuxm.jpg")</f>
        <v/>
      </c>
    </row>
    <row r="130" ht="113.25" customHeight="1">
      <c r="A130" s="1">
        <v>2019.0</v>
      </c>
      <c r="B130" s="5">
        <v>43629.0</v>
      </c>
      <c r="C130" s="1" t="s">
        <v>114</v>
      </c>
      <c r="D130" s="2" t="b">
        <v>0</v>
      </c>
      <c r="E130" s="1" t="str">
        <f>IMAGE("")</f>
        <v/>
      </c>
    </row>
    <row r="131" ht="113.25" customHeight="1">
      <c r="A131" s="1">
        <v>2019.0</v>
      </c>
      <c r="B131" s="5">
        <v>43634.0</v>
      </c>
      <c r="C131" s="1" t="s">
        <v>115</v>
      </c>
      <c r="D131" s="2" t="b">
        <v>0</v>
      </c>
      <c r="E131" s="1" t="str">
        <f>IMAGE("https://img.mlbstatic.com/mlb-images/image/private/t_4x5/t_w372/mlb/q2nrrxbuk461jmhv0jnj.jpg")</f>
        <v/>
      </c>
    </row>
    <row r="132" ht="113.25" customHeight="1">
      <c r="A132" s="1">
        <v>2019.0</v>
      </c>
      <c r="B132" s="5">
        <v>43648.0</v>
      </c>
      <c r="C132" s="1" t="s">
        <v>116</v>
      </c>
      <c r="D132" s="2" t="b">
        <v>0</v>
      </c>
      <c r="E132" s="1" t="str">
        <f>IMAGE("https://img.mlbstatic.com/mlb-images/image/private/t_4x5/t_w372/mlb/x3pxwdxazy0kcfeqeyrr.jpg")</f>
        <v/>
      </c>
    </row>
    <row r="133" ht="113.25" customHeight="1">
      <c r="A133" s="1">
        <v>2019.0</v>
      </c>
      <c r="B133" s="5">
        <v>43649.0</v>
      </c>
      <c r="C133" s="1" t="s">
        <v>117</v>
      </c>
      <c r="D133" s="2" t="b">
        <v>0</v>
      </c>
      <c r="E133" s="1" t="str">
        <f>IMAGE("https://img.mlbstatic.com/mlb-images/image/private/t_4x5/t_w372/mlb/ugmgqtooki8xfgttj08u.jpg")</f>
        <v/>
      </c>
    </row>
    <row r="134" ht="113.25" customHeight="1">
      <c r="A134" s="1">
        <v>2019.0</v>
      </c>
      <c r="B134" s="5">
        <v>43666.0</v>
      </c>
      <c r="C134" s="1" t="s">
        <v>118</v>
      </c>
      <c r="D134" s="2" t="b">
        <v>0</v>
      </c>
      <c r="E134" s="1" t="str">
        <f>IMAGE("https://img.mlbstatic.com/mlb-images/image/private/t_4x5/t_w372/mlb/cuqektt9qrlh2pxyr01u.jpg")</f>
        <v/>
      </c>
    </row>
    <row r="135" ht="113.25" customHeight="1">
      <c r="A135" s="1">
        <v>2019.0</v>
      </c>
      <c r="B135" s="5">
        <v>43682.0</v>
      </c>
      <c r="C135" s="1" t="s">
        <v>70</v>
      </c>
      <c r="D135" s="2" t="b">
        <v>0</v>
      </c>
      <c r="E135" s="1" t="str">
        <f>IMAGE("https://img.mlbstatic.com/mlb-images/image/private/t_4x5/t_w372/mlb/iqpiolu4axxshxb1hsyf.jpg")</f>
        <v/>
      </c>
    </row>
    <row r="136" ht="113.25" customHeight="1">
      <c r="A136" s="1">
        <v>2019.0</v>
      </c>
      <c r="B136" s="5">
        <v>43699.0</v>
      </c>
      <c r="C136" s="1" t="s">
        <v>119</v>
      </c>
      <c r="D136" s="2" t="b">
        <v>0</v>
      </c>
      <c r="E136" s="1" t="str">
        <f>IMAGE("https://img.mlbstatic.com/mlb-images/image/private/t_4x5/t_w372/mlb/qpafqgjuiynesdkqjcac.jpg")</f>
        <v/>
      </c>
    </row>
    <row r="137" ht="113.25" customHeight="1">
      <c r="A137" s="3">
        <v>2019.0</v>
      </c>
      <c r="B137" s="4">
        <v>43712.0</v>
      </c>
      <c r="C137" s="3" t="s">
        <v>3</v>
      </c>
      <c r="D137" s="3" t="b">
        <v>1</v>
      </c>
      <c r="E137" s="1" t="str">
        <f>IMAGE("https://img.mlbstatic.com/mlb-images/image/private/t_4x5/t_w372/mlb/c66qxurkwuvufsoz41gt.jpg")</f>
        <v/>
      </c>
    </row>
    <row r="138" ht="113.25" customHeight="1">
      <c r="A138" s="3">
        <v>2019.0</v>
      </c>
      <c r="B138" s="4">
        <v>43725.0</v>
      </c>
      <c r="C138" s="3" t="s">
        <v>120</v>
      </c>
      <c r="D138" s="3" t="b">
        <v>1</v>
      </c>
      <c r="E138" s="1" t="str">
        <f>IMAGE("https://img.mlbstatic.com/mlb-images/image/private/t_4x5/t_w372/mlb/xosb3im2ob5tecyx0rtq.jpg")</f>
        <v/>
      </c>
    </row>
    <row r="139" ht="113.25" customHeight="1">
      <c r="A139" s="1">
        <v>2019.0</v>
      </c>
      <c r="B139" s="5">
        <v>43728.0</v>
      </c>
      <c r="C139" s="1" t="s">
        <v>121</v>
      </c>
      <c r="D139" s="2" t="b">
        <v>0</v>
      </c>
      <c r="E139" s="1" t="str">
        <f>IMAGE("https://img.mlbstatic.com/mlb-images/image/private/t_4x5/t_w372/mlb/xbjkd2d3q10gs3qdauea.jpg")</f>
        <v/>
      </c>
    </row>
    <row r="140" ht="113.25" customHeight="1">
      <c r="A140" s="1">
        <v>2019.0</v>
      </c>
      <c r="B140" s="5">
        <v>43729.0</v>
      </c>
      <c r="C140" s="1" t="s">
        <v>122</v>
      </c>
      <c r="D140" s="2" t="b">
        <v>0</v>
      </c>
      <c r="E140" s="1" t="str">
        <f>IMAGE("https://img.mlbstatic.com/mlb-images/image/private/t_4x5/t_w372/mlb/vpkkxkzxngkrgkkuaete.jpg")</f>
        <v/>
      </c>
    </row>
    <row r="141" ht="113.25" customHeight="1">
      <c r="A141" s="1">
        <v>2019.0</v>
      </c>
      <c r="B141" s="5">
        <v>43737.0</v>
      </c>
      <c r="C141" s="1" t="s">
        <v>123</v>
      </c>
      <c r="D141" s="2" t="b">
        <v>0</v>
      </c>
      <c r="E141" s="1" t="str">
        <f>IMAGE("https://img.mlbstatic.com/mlb-images/image/private/t_4x5/t_w372/mlb/ggety55z8jrhax6roqur.jpg")</f>
        <v/>
      </c>
    </row>
    <row r="142" ht="113.25" customHeight="1">
      <c r="A142" s="3">
        <v>2019.0</v>
      </c>
      <c r="B142" s="4">
        <v>43741.0</v>
      </c>
      <c r="C142" s="3" t="s">
        <v>124</v>
      </c>
      <c r="D142" s="3" t="b">
        <v>1</v>
      </c>
      <c r="E142" s="1" t="str">
        <f>IMAGE("https://img.mlbstatic.com/mlb-images/image/private/t_4x5/t_w372/mlb/dqsgj1tminczawnbvmiz.jpg")</f>
        <v/>
      </c>
    </row>
    <row r="143" ht="113.25" customHeight="1">
      <c r="A143" s="3">
        <v>2019.0</v>
      </c>
      <c r="B143" s="4">
        <v>43741.0</v>
      </c>
      <c r="C143" s="3" t="s">
        <v>125</v>
      </c>
      <c r="D143" s="3" t="b">
        <v>1</v>
      </c>
      <c r="E143" s="1" t="str">
        <f>IMAGE("")</f>
        <v/>
      </c>
    </row>
    <row r="144" ht="113.25" customHeight="1">
      <c r="A144" s="1">
        <v>2021.0</v>
      </c>
      <c r="B144" s="5">
        <v>44362.0</v>
      </c>
      <c r="C144" s="1" t="s">
        <v>75</v>
      </c>
      <c r="D144" s="2" t="b">
        <v>0</v>
      </c>
      <c r="E144" s="1" t="str">
        <f>IMAGE("https://img.mlbstatic.com/mlb-images/image/private/t_4x5/t_w372/mlb/mppum2thsmwhfyvjir7o.jpg")</f>
        <v/>
      </c>
    </row>
    <row r="145" ht="113.25" customHeight="1">
      <c r="A145" s="6">
        <v>2021.0</v>
      </c>
      <c r="B145" s="7">
        <v>44371.0</v>
      </c>
      <c r="C145" s="6" t="s">
        <v>126</v>
      </c>
      <c r="D145" s="8" t="b">
        <v>0</v>
      </c>
      <c r="E145" s="1" t="str">
        <f>IMAGE("https://img.mlbstatic.com/mlb-images/image/private/t_4x5/t_w372/mlb/gozaud9sxkjjpyt2mxzv.jpg")</f>
        <v/>
      </c>
    </row>
    <row r="146" ht="113.25" customHeight="1">
      <c r="A146" s="1">
        <v>2021.0</v>
      </c>
      <c r="B146" s="5">
        <v>44376.0</v>
      </c>
      <c r="C146" s="1" t="s">
        <v>112</v>
      </c>
      <c r="D146" s="2" t="b">
        <v>0</v>
      </c>
      <c r="E146" s="1" t="str">
        <f>IMAGE("https://img.mlbstatic.com/mlb-images/image/private/t_4x5/t_w372/mlb/niwr7s1mb5czc21c7ztg.jpg")</f>
        <v/>
      </c>
    </row>
    <row r="147" ht="113.25" customHeight="1">
      <c r="A147" s="3">
        <v>2021.0</v>
      </c>
      <c r="B147" s="4">
        <v>44396.0</v>
      </c>
      <c r="C147" s="3" t="s">
        <v>109</v>
      </c>
      <c r="D147" s="3" t="b">
        <v>1</v>
      </c>
      <c r="E147" s="1" t="str">
        <f>IMAGE("https://img.mlbstatic.com/mlb-images/image/private/t_4x5/t_w372/mlb/uqn3o9fhri6flzpdsmcl.jpg")</f>
        <v/>
      </c>
    </row>
    <row r="148" ht="113.25" customHeight="1">
      <c r="A148" s="1">
        <v>2021.0</v>
      </c>
      <c r="B148" s="5">
        <v>44398.0</v>
      </c>
      <c r="C148" s="1" t="s">
        <v>127</v>
      </c>
      <c r="D148" s="1" t="b">
        <v>0</v>
      </c>
      <c r="E148" s="1" t="str">
        <f>IMAGE("https://img.mlbstatic.com/mlb-images/image/private/t_4x5/t_w372/mlb/ghbvblb50jenryvevacf.jpg")</f>
        <v/>
      </c>
    </row>
    <row r="149" ht="113.25" customHeight="1">
      <c r="A149" s="1">
        <v>2021.0</v>
      </c>
      <c r="B149" s="5">
        <v>44422.0</v>
      </c>
      <c r="C149" s="1" t="s">
        <v>128</v>
      </c>
      <c r="D149" s="2" t="b">
        <v>0</v>
      </c>
      <c r="E149" s="1" t="str">
        <f>IMAGE("https://img.mlbstatic.com/mlb-images/image/private/t_4x5/t_w372/mlb/mzs5mqyv0e1bmqfkuer6.png")</f>
        <v/>
      </c>
    </row>
    <row r="150" ht="113.25" customHeight="1">
      <c r="A150" s="1">
        <v>2021.0</v>
      </c>
      <c r="B150" s="5">
        <v>44438.0</v>
      </c>
      <c r="C150" s="1" t="s">
        <v>129</v>
      </c>
      <c r="D150" s="2" t="b">
        <v>0</v>
      </c>
      <c r="E150" s="1" t="str">
        <f>IMAGE("https://img.mlbstatic.com/mlb-images/image/private/t_4x5/t_w372/mlb/somd0c1eglyyjoybjkhs.jpg")</f>
        <v/>
      </c>
    </row>
    <row r="151" ht="113.25" customHeight="1">
      <c r="A151" s="1">
        <v>2021.0</v>
      </c>
      <c r="B151" s="5">
        <v>44440.0</v>
      </c>
      <c r="C151" s="1" t="s">
        <v>130</v>
      </c>
      <c r="D151" s="2" t="b">
        <v>0</v>
      </c>
      <c r="E151" s="1" t="str">
        <f>IMAGE("https://img.mlbstatic.com/mlb-images/image/private/t_4x5/t_w372/mlb/dutxnrjutessg63weqxd.jpg")</f>
        <v/>
      </c>
    </row>
    <row r="152" ht="113.25" customHeight="1">
      <c r="A152" s="1">
        <v>2021.0</v>
      </c>
      <c r="B152" s="5">
        <v>44452.0</v>
      </c>
      <c r="C152" s="1" t="s">
        <v>3</v>
      </c>
      <c r="D152" s="2" t="b">
        <v>0</v>
      </c>
      <c r="E152" s="1" t="str">
        <f>IMAGE("https://img.mlbstatic.com/mlb-images/image/private/t_4x5/t_w372/mlb/bifnjzp5iijqubopr2ep.jpg")</f>
        <v/>
      </c>
    </row>
    <row r="153" ht="113.25" customHeight="1">
      <c r="A153" s="1">
        <v>2021.0</v>
      </c>
      <c r="B153" s="5">
        <v>44454.0</v>
      </c>
      <c r="C153" s="1" t="s">
        <v>5</v>
      </c>
      <c r="D153" s="2" t="b">
        <v>0</v>
      </c>
      <c r="E153" s="1" t="str">
        <f>IMAGE("https://img.mlbstatic.com/mlb-images/image/private/t_4x5/t_w372/mlb/rfrp02zqeah9qb4w9dnz.jpg")</f>
        <v/>
      </c>
    </row>
    <row r="154" ht="113.25" customHeight="1">
      <c r="A154" s="1">
        <v>2021.0</v>
      </c>
      <c r="B154" s="5">
        <v>44467.0</v>
      </c>
      <c r="C154" s="1" t="s">
        <v>91</v>
      </c>
      <c r="D154" s="2" t="b">
        <v>0</v>
      </c>
      <c r="E154" s="1" t="str">
        <f>IMAGE("https://img.mlbstatic.com/mlb-images/image/private/t_4x5/t_w372/mlb/bhxxgpygirtkbmrsufgt.jpg")</f>
        <v/>
      </c>
    </row>
    <row r="155" ht="113.25" customHeight="1">
      <c r="A155" s="1">
        <v>2021.0</v>
      </c>
      <c r="B155" s="5">
        <v>44470.0</v>
      </c>
      <c r="C155" s="1" t="s">
        <v>105</v>
      </c>
      <c r="D155" s="2" t="b">
        <v>0</v>
      </c>
      <c r="E155" s="1" t="str">
        <f>IMAGE("https://img.mlbstatic.com/mlb-images/image/private/t_4x5/t_w372/mlb/dlayijemmfugamp9rh1l.jpg")</f>
        <v/>
      </c>
    </row>
    <row r="156" ht="113.25" customHeight="1">
      <c r="A156" s="3">
        <v>2022.0</v>
      </c>
      <c r="B156" s="4">
        <v>44667.0</v>
      </c>
      <c r="C156" s="3" t="s">
        <v>131</v>
      </c>
      <c r="D156" s="3" t="b">
        <v>1</v>
      </c>
      <c r="E156" s="1" t="str">
        <f>IMAGE("https://img.mlbstatic.com/mlb-images/image/private/t_4x5/t_w372/mlb/efkfrixedhbohwszffrd.jpg")</f>
        <v/>
      </c>
    </row>
    <row r="157" ht="113.25" customHeight="1">
      <c r="A157" s="1">
        <v>2022.0</v>
      </c>
      <c r="B157" s="5">
        <v>44669.0</v>
      </c>
      <c r="C157" s="1" t="s">
        <v>132</v>
      </c>
      <c r="D157" s="1" t="b">
        <v>0</v>
      </c>
      <c r="E157" s="1" t="str">
        <f>IMAGE("https://img.mlbstatic.com/mlb-images/image/private/t_4x5/t_w372/mlb/xixpeesxo4pn6kh5zcvz.jpg")</f>
        <v/>
      </c>
    </row>
    <row r="158" ht="113.25" customHeight="1">
      <c r="A158" s="1">
        <v>2022.0</v>
      </c>
      <c r="B158" s="5">
        <v>44681.0</v>
      </c>
      <c r="C158" s="1" t="s">
        <v>133</v>
      </c>
      <c r="D158" s="2" t="b">
        <v>0</v>
      </c>
      <c r="E158" s="1" t="str">
        <f>IMAGE("https://img.mlbstatic.com/mlb-images/image/private/t_4x5/t_w372/mlb/l6wyghcdlkupwnere7bq.jpg")</f>
        <v/>
      </c>
    </row>
    <row r="159" ht="113.25" customHeight="1">
      <c r="A159" s="1">
        <v>2022.0</v>
      </c>
      <c r="B159" s="5">
        <v>44693.0</v>
      </c>
      <c r="C159" s="1" t="s">
        <v>112</v>
      </c>
      <c r="D159" s="2" t="b">
        <v>0</v>
      </c>
      <c r="E159" s="1" t="str">
        <f>IMAGE("https://img.mlbstatic.com/mlb-images/image/private/t_4x5/t_w372/mlb/fvd2s4yl68pbgfjmjgek.jpg")</f>
        <v/>
      </c>
    </row>
    <row r="160" ht="113.25" customHeight="1">
      <c r="A160" s="1">
        <v>2022.0</v>
      </c>
      <c r="B160" s="5">
        <v>44695.0</v>
      </c>
      <c r="C160" s="1" t="s">
        <v>134</v>
      </c>
      <c r="D160" s="2" t="b">
        <v>0</v>
      </c>
      <c r="E160" s="1" t="str">
        <f>IMAGE("https://img.mlbstatic.com/mlb-images/image/private/t_4x5/t_w372/mlb/xmkd5dvstqxb7rjrwlxo.jpg")</f>
        <v/>
      </c>
    </row>
    <row r="161" ht="113.25" customHeight="1">
      <c r="A161" s="3">
        <v>2022.0</v>
      </c>
      <c r="B161" s="4">
        <v>44697.0</v>
      </c>
      <c r="C161" s="3" t="s">
        <v>109</v>
      </c>
      <c r="D161" s="3" t="b">
        <v>1</v>
      </c>
      <c r="E161" s="1" t="str">
        <f>IMAGE("https://img.mlbstatic.com/mlb-images/image/private/t_4x5/t_w372/mlb/b1pedvruweaa9xa6drbf.jpg")</f>
        <v/>
      </c>
    </row>
    <row r="162" ht="113.25" customHeight="1">
      <c r="A162" s="1">
        <v>2022.0</v>
      </c>
      <c r="B162" s="5">
        <v>44712.0</v>
      </c>
      <c r="C162" s="1" t="s">
        <v>135</v>
      </c>
      <c r="D162" s="2" t="b">
        <v>0</v>
      </c>
      <c r="E162" s="1" t="str">
        <f>IMAGE("https://img.mlbstatic.com/mlb-images/image/private/t_4x5/t_w372/mlb/po5k3zdp6nvt95lnt54g.jpg")</f>
        <v/>
      </c>
    </row>
    <row r="163" ht="113.25" customHeight="1">
      <c r="A163" s="3">
        <v>2022.0</v>
      </c>
      <c r="B163" s="4">
        <v>44716.0</v>
      </c>
      <c r="C163" s="3" t="s">
        <v>136</v>
      </c>
      <c r="D163" s="3" t="b">
        <v>1</v>
      </c>
      <c r="E163" s="1" t="str">
        <f>IMAGE("https://img.mlbstatic.com/mlb-images/image/private/t_4x5/t_w372/mlb/xmacrp9tgkmuet1cxoxi.jpg")</f>
        <v/>
      </c>
    </row>
    <row r="164" ht="113.25" customHeight="1">
      <c r="A164" s="1">
        <v>2022.0</v>
      </c>
      <c r="B164" s="5">
        <v>44742.0</v>
      </c>
      <c r="C164" s="1" t="s">
        <v>137</v>
      </c>
      <c r="D164" s="2" t="b">
        <v>0</v>
      </c>
      <c r="E164" s="1" t="str">
        <f>IMAGE("https://img.mlbstatic.com/mlb-images/image/private/t_4x5/t_w372/mlb/i4fojtlvmgzfysx2knko.jpg")</f>
        <v/>
      </c>
    </row>
    <row r="165" ht="113.25" customHeight="1">
      <c r="A165" s="1">
        <v>2022.0</v>
      </c>
      <c r="B165" s="5">
        <v>44747.0</v>
      </c>
      <c r="C165" s="1" t="s">
        <v>97</v>
      </c>
      <c r="D165" s="2" t="b">
        <v>0</v>
      </c>
      <c r="E165" s="1" t="str">
        <f>IMAGE("https://img.mlbstatic.com/mlb-images/image/private/t_4x5/t_w372/mlb/acqyjdd1pgmowrh2jl27.jpg")</f>
        <v/>
      </c>
    </row>
    <row r="166" ht="113.25" customHeight="1">
      <c r="A166" s="1">
        <v>2022.0</v>
      </c>
      <c r="B166" s="5">
        <v>44763.0</v>
      </c>
      <c r="C166" s="1" t="s">
        <v>90</v>
      </c>
      <c r="D166" s="2" t="b">
        <v>0</v>
      </c>
      <c r="E166" s="1" t="str">
        <f>IMAGE("https://img.mlbstatic.com/mlb-images/image/private/t_4x5/t_w372/mlb/nhtcsqmequk1fojd1b6i.jpg")</f>
        <v/>
      </c>
    </row>
    <row r="167" ht="113.25" customHeight="1">
      <c r="A167" s="1">
        <v>2022.0</v>
      </c>
      <c r="B167" s="5">
        <v>44768.0</v>
      </c>
      <c r="C167" s="1" t="s">
        <v>34</v>
      </c>
      <c r="D167" s="2" t="b">
        <v>0</v>
      </c>
      <c r="E167" s="1" t="str">
        <f>IMAGE("https://img.mlbstatic.com/mlb-images/image/private/t_4x5/t_w372/mlb/ouvrebdo9mtnb75x5rya.jpg")</f>
        <v/>
      </c>
    </row>
    <row r="168" ht="113.25" customHeight="1">
      <c r="A168" s="1">
        <v>2022.0</v>
      </c>
      <c r="B168" s="5">
        <v>44783.0</v>
      </c>
      <c r="C168" s="1" t="s">
        <v>138</v>
      </c>
      <c r="D168" s="2" t="b">
        <v>0</v>
      </c>
      <c r="E168" s="1" t="str">
        <f>IMAGE("https://img.mlbstatic.com/mlb-images/image/private/t_4x5/t_w372/mlb/sihcgwkk6hqddlre9ufu.jpg")</f>
        <v/>
      </c>
    </row>
    <row r="169" ht="113.25" customHeight="1">
      <c r="A169" s="1">
        <v>2022.0</v>
      </c>
      <c r="B169" s="5">
        <v>44786.0</v>
      </c>
      <c r="C169" s="1" t="s">
        <v>139</v>
      </c>
      <c r="D169" s="2" t="b">
        <v>0</v>
      </c>
      <c r="E169" s="1" t="str">
        <f>IMAGE("https://img.mlbstatic.com/mlb-images/image/upload/t_4x5/t_w372/mlb/wooqmrffjnfbwpdwnwh1.jpg")</f>
        <v/>
      </c>
    </row>
    <row r="170" ht="113.25" customHeight="1">
      <c r="A170" s="1">
        <v>2022.0</v>
      </c>
      <c r="B170" s="5">
        <v>44824.0</v>
      </c>
      <c r="C170" s="1" t="s">
        <v>140</v>
      </c>
      <c r="D170" s="2" t="b">
        <v>0</v>
      </c>
      <c r="E170" s="1" t="str">
        <f>IMAGE("https://img.mlbstatic.com/mlb-images/image/upload/t_4x5/t_w372/mlb/puvuupf4trvzsydtuy5u.jpg")</f>
        <v/>
      </c>
    </row>
    <row r="171" ht="113.25" customHeight="1">
      <c r="A171" s="1">
        <v>2022.0</v>
      </c>
      <c r="B171" s="5">
        <v>44824.0</v>
      </c>
      <c r="C171" s="1" t="s">
        <v>141</v>
      </c>
      <c r="D171" s="2" t="b">
        <v>0</v>
      </c>
      <c r="E171" s="1" t="str">
        <f>IMAGE("https://img.mlbstatic.com/mlb-images/image/upload/t_4x5/t_w372/mlb/rw7qapb41zdh1myyh4tc.jpg")</f>
        <v/>
      </c>
    </row>
    <row r="172" ht="113.25" customHeight="1">
      <c r="A172" s="3">
        <v>2022.0</v>
      </c>
      <c r="B172" s="4">
        <v>44826.0</v>
      </c>
      <c r="C172" s="3" t="s">
        <v>142</v>
      </c>
      <c r="D172" s="3" t="b">
        <v>1</v>
      </c>
      <c r="E172" s="1" t="str">
        <f>IMAGE("https://img.mlbstatic.com/mlb-images/image/private/t_4x5/t_w372/mlb/ugc0er9rdla6djansj4x.jpg")</f>
        <v/>
      </c>
    </row>
    <row r="173" ht="113.25" customHeight="1">
      <c r="A173" s="1">
        <v>2022.0</v>
      </c>
      <c r="B173" s="5">
        <v>44828.0</v>
      </c>
      <c r="C173" s="1" t="s">
        <v>143</v>
      </c>
      <c r="D173" s="1" t="b">
        <v>0</v>
      </c>
      <c r="E173" s="1" t="str">
        <f>IMAGE("https://img.mlbstatic.com/mlb-images/image/upload/t_4x5/t_w372/mlb/svygxlq46fv7wcfnngra.jpg")</f>
        <v/>
      </c>
    </row>
    <row r="174" ht="113.25" customHeight="1">
      <c r="A174" s="1">
        <v>2022.0</v>
      </c>
      <c r="B174" s="5">
        <v>44834.0</v>
      </c>
      <c r="C174" s="1" t="s">
        <v>144</v>
      </c>
      <c r="D174" s="2" t="b">
        <v>0</v>
      </c>
      <c r="E174" s="1" t="str">
        <f>IMAGE("https://img.mlbstatic.com/mlb-images/image/upload/t_4x5/t_w372/mlb/e7fsdbcce2j4zj84q1yz.jpg")</f>
        <v/>
      </c>
    </row>
    <row r="175" ht="113.25" customHeight="1">
      <c r="A175" s="1">
        <v>2022.0</v>
      </c>
      <c r="B175" s="5">
        <v>44837.0</v>
      </c>
      <c r="C175" s="1" t="s">
        <v>145</v>
      </c>
      <c r="D175" s="2" t="b">
        <v>0</v>
      </c>
      <c r="E175" s="1" t="str">
        <f>IMAGE("https://img.mlbstatic.com/mlb-images/image/private/t_4x5/t_w372/mlb/xl3hvrugoooscilflxkr.jpg")</f>
        <v/>
      </c>
    </row>
    <row r="176" ht="113.25" customHeight="1">
      <c r="A176" s="1">
        <v>2022.0</v>
      </c>
      <c r="B176" s="5">
        <v>44838.0</v>
      </c>
      <c r="C176" s="1" t="s">
        <v>146</v>
      </c>
      <c r="D176" s="2" t="b">
        <v>0</v>
      </c>
      <c r="E176" s="1" t="str">
        <f>IMAGE("https://img.mlbstatic.com/mlb-images/image/upload/t_4x5/t_w372/mlb/fwri6anbocxo1hxroyig.jpg")</f>
        <v/>
      </c>
    </row>
    <row r="177" ht="113.25" customHeight="1">
      <c r="A177" s="1">
        <v>2023.0</v>
      </c>
      <c r="B177" s="5">
        <v>45017.0</v>
      </c>
      <c r="C177" s="1" t="s">
        <v>138</v>
      </c>
      <c r="D177" s="2" t="b">
        <v>0</v>
      </c>
      <c r="E177" s="1" t="str">
        <f>IMAGE("https://img.mlbstatic.com/mlb-images/image/upload/t_4x5/t_w372/mlb/gwivmygvcgawb9c6lupt.jpg")</f>
        <v/>
      </c>
    </row>
    <row r="178" ht="113.25" customHeight="1">
      <c r="A178" s="3">
        <v>2023.0</v>
      </c>
      <c r="B178" s="4">
        <v>45019.0</v>
      </c>
      <c r="C178" s="3" t="s">
        <v>135</v>
      </c>
      <c r="D178" s="3" t="b">
        <v>1</v>
      </c>
      <c r="E178" s="1" t="str">
        <f>IMAGE("https://img.mlbstatic.com/mlb-images/image/upload/t_4x5/t_w372/mlb/irrbecshpamyqccib44n.jpg")</f>
        <v/>
      </c>
    </row>
    <row r="179" ht="113.25" customHeight="1">
      <c r="A179" s="3">
        <v>2023.0</v>
      </c>
      <c r="B179" s="4">
        <v>45045.0</v>
      </c>
      <c r="C179" s="3" t="s">
        <v>147</v>
      </c>
      <c r="D179" s="3" t="b">
        <v>1</v>
      </c>
      <c r="E179" s="1" t="str">
        <f>IMAGE("https://img.mlbstatic.com/mlb-images/image/upload/t_4x5/t_w372/mlb/wdlve4sgzswjltb0kurh.jpg")</f>
        <v/>
      </c>
    </row>
    <row r="180" ht="113.25" customHeight="1">
      <c r="A180" s="3">
        <v>2023.0</v>
      </c>
      <c r="B180" s="4">
        <v>45047.0</v>
      </c>
      <c r="C180" s="3" t="s">
        <v>142</v>
      </c>
      <c r="D180" s="3" t="b">
        <v>1</v>
      </c>
      <c r="E180" s="1" t="str">
        <f>IMAGE("https://img.mlbstatic.com/mlb-images/image/upload/t_4x5/t_w372/mlb/vvh5o0qyynqhpkjeyvbo.jpg")</f>
        <v/>
      </c>
    </row>
    <row r="181" ht="113.25" customHeight="1">
      <c r="A181" s="1">
        <v>2023.0</v>
      </c>
      <c r="B181" s="5">
        <v>45061.0</v>
      </c>
      <c r="C181" s="1" t="s">
        <v>148</v>
      </c>
      <c r="D181" s="2" t="b">
        <v>0</v>
      </c>
      <c r="E181" s="1" t="str">
        <f>IMAGE("https://img.mlbstatic.com/mlb-images/image/upload/t_4x5/t_w372/mlb/zfklgpcahttjyzhckv9u.jpg")</f>
        <v/>
      </c>
    </row>
    <row r="182" ht="113.25" customHeight="1">
      <c r="A182" s="1">
        <v>2023.0</v>
      </c>
      <c r="B182" s="5">
        <v>45090.0</v>
      </c>
      <c r="C182" s="1" t="s">
        <v>132</v>
      </c>
      <c r="D182" s="2" t="b">
        <v>0</v>
      </c>
      <c r="E182" s="1" t="str">
        <f>IMAGE("https://img.mlbstatic.com/mlb-images/image/upload/t_4x5/t_w372/mlb/k3maxebicwomkz4don4s.jpg")</f>
        <v/>
      </c>
    </row>
    <row r="183" ht="113.25" customHeight="1">
      <c r="A183" s="1">
        <v>2023.0</v>
      </c>
      <c r="B183" s="5">
        <v>45092.0</v>
      </c>
      <c r="C183" s="1" t="s">
        <v>34</v>
      </c>
      <c r="D183" s="2" t="b">
        <v>0</v>
      </c>
      <c r="E183" s="1" t="str">
        <f>IMAGE("https://img.mlbstatic.com/mlb-images/image/upload/t_4x5/t_w372/mlb/klnc4bbplafebgdht2ug.jpg")</f>
        <v/>
      </c>
    </row>
    <row r="184" ht="113.25" customHeight="1">
      <c r="A184" s="3">
        <v>2023.0</v>
      </c>
      <c r="B184" s="4">
        <v>45110.0</v>
      </c>
      <c r="C184" s="3" t="s">
        <v>149</v>
      </c>
      <c r="D184" s="3" t="b">
        <v>1</v>
      </c>
      <c r="E184" s="1" t="str">
        <f>IMAGE("https://img.mlbstatic.com/mlb-images/image/upload/t_4x5/t_w372/mlb/owq12t99cozvadmgwr2l.jpg")</f>
        <v/>
      </c>
    </row>
    <row r="185" ht="113.25" customHeight="1">
      <c r="A185" s="3">
        <v>2023.0</v>
      </c>
      <c r="B185" s="4">
        <v>45113.0</v>
      </c>
      <c r="C185" s="3" t="s">
        <v>150</v>
      </c>
      <c r="D185" s="3" t="b">
        <v>1</v>
      </c>
      <c r="E185" s="1" t="str">
        <f>IMAGE("https://img.mlbstatic.com/mlb-images/image/upload/t_4x5/t_w372/mlb/l8mdrmsptgdawiknsqw0.jpg")</f>
        <v/>
      </c>
    </row>
    <row r="186" ht="113.25" customHeight="1">
      <c r="A186" s="1">
        <v>2023.0</v>
      </c>
      <c r="B186" s="5">
        <v>45132.0</v>
      </c>
      <c r="C186" s="1" t="s">
        <v>112</v>
      </c>
      <c r="D186" s="2" t="b">
        <v>0</v>
      </c>
      <c r="E186" s="1" t="str">
        <f>IMAGE("https://img.mlbstatic.com/mlb-images/image/upload/t_4x5/t_w372/mlb/jngzq5hgeymhmvjiwg7s.jpg")</f>
        <v/>
      </c>
    </row>
    <row r="187" ht="113.25" customHeight="1">
      <c r="A187" s="1">
        <v>2023.0</v>
      </c>
      <c r="B187" s="5">
        <v>45136.0</v>
      </c>
      <c r="C187" s="1" t="s">
        <v>151</v>
      </c>
      <c r="D187" s="2" t="b">
        <v>0</v>
      </c>
      <c r="E187" s="1" t="str">
        <f>IMAGE("https://img.mlbstatic.com/mlb-images/image/upload/t_4x5/t_w372/mlb/tciakeplnedrtvppjd1c.jpg")</f>
        <v/>
      </c>
    </row>
    <row r="188" ht="113.25" customHeight="1">
      <c r="A188" s="1">
        <v>2023.0</v>
      </c>
      <c r="B188" s="5">
        <v>45141.0</v>
      </c>
      <c r="C188" s="1" t="s">
        <v>152</v>
      </c>
      <c r="D188" s="2" t="b">
        <v>0</v>
      </c>
      <c r="E188" s="1" t="str">
        <f>IMAGE("https://img.mlbstatic.com/mlb-images/image/upload/t_4x5/t_w372/mlb/oydfpmupht84gfxrgodp.jpg")</f>
        <v/>
      </c>
    </row>
    <row r="189" ht="113.25" customHeight="1">
      <c r="A189" s="3">
        <v>2023.0</v>
      </c>
      <c r="B189" s="4">
        <v>45148.0</v>
      </c>
      <c r="C189" s="3" t="s">
        <v>153</v>
      </c>
      <c r="D189" s="3" t="b">
        <v>1</v>
      </c>
      <c r="E189" s="1" t="str">
        <f>IMAGE("https://img.mlbstatic.com/mlb-images/image/upload/t_4x5/t_w372/mlb/xbsptwi7lzlxfnktnunr.jpg")</f>
        <v/>
      </c>
    </row>
    <row r="190" ht="113.25" customHeight="1">
      <c r="A190" s="1">
        <v>2023.0</v>
      </c>
      <c r="B190" s="5">
        <v>45150.0</v>
      </c>
      <c r="C190" s="1" t="s">
        <v>5</v>
      </c>
      <c r="D190" s="2" t="b">
        <v>0</v>
      </c>
      <c r="E190" s="1" t="str">
        <f>IMAGE("https://img.mlbstatic.com/mlb-images/image/upload/t_4x5/t_w372/mlb/uukuntegnqvmixhdl5gr.jpg")</f>
        <v/>
      </c>
    </row>
    <row r="191" ht="113.25" customHeight="1">
      <c r="A191" s="3">
        <v>2023.0</v>
      </c>
      <c r="B191" s="4">
        <v>45154.0</v>
      </c>
      <c r="C191" s="3" t="s">
        <v>154</v>
      </c>
      <c r="D191" s="3" t="b">
        <v>1</v>
      </c>
      <c r="E191" s="1" t="str">
        <f>IMAGE("https://img.mlbstatic.com/mlb-images/image/upload/t_4x5/t_w372/mlb/bsehoktbsnkwuglbgi7y.jpg")</f>
        <v/>
      </c>
    </row>
    <row r="192" ht="113.25" customHeight="1">
      <c r="A192" s="1">
        <v>2023.0</v>
      </c>
      <c r="B192" s="5">
        <v>45157.0</v>
      </c>
      <c r="C192" s="1" t="s">
        <v>155</v>
      </c>
      <c r="D192" s="2" t="b">
        <v>0</v>
      </c>
      <c r="E192" s="1" t="str">
        <f>IMAGE("https://img.mlbstatic.com/mlb-images/image/upload/t_4x5/t_w372/mlb/lkkxf3mej0sslgdgoicj.jpg")</f>
        <v/>
      </c>
    </row>
    <row r="193" ht="113.25" customHeight="1">
      <c r="A193" s="3">
        <v>2023.0</v>
      </c>
      <c r="B193" s="4">
        <v>45167.0</v>
      </c>
      <c r="C193" s="3" t="s">
        <v>97</v>
      </c>
      <c r="D193" s="3" t="b">
        <v>1</v>
      </c>
      <c r="E193" s="1" t="str">
        <f>IMAGE("https://img.mlbstatic.com/mlb-images/image/upload/t_4x5/t_w372/mlb/oi7w7etgkeovffjcwamx.jpg")</f>
        <v/>
      </c>
    </row>
    <row r="194" ht="113.25" customHeight="1">
      <c r="A194" s="3">
        <v>2023.0</v>
      </c>
      <c r="B194" s="4">
        <v>45169.0</v>
      </c>
      <c r="C194" s="3" t="s">
        <v>156</v>
      </c>
      <c r="D194" s="3" t="b">
        <v>1</v>
      </c>
      <c r="E194" s="1" t="str">
        <f>IMAGE("https://img.mlbstatic.com/mlb-images/image/upload/t_4x5/t_w372/mlb/pzpgh37j2izgpjc2bj3y.jpg")</f>
        <v/>
      </c>
    </row>
    <row r="195" ht="113.25" customHeight="1">
      <c r="A195" s="3">
        <v>2023.0</v>
      </c>
      <c r="B195" s="4">
        <v>45171.0</v>
      </c>
      <c r="C195" s="3" t="s">
        <v>143</v>
      </c>
      <c r="D195" s="3" t="b">
        <v>1</v>
      </c>
      <c r="E195" s="1" t="str">
        <f>IMAGE("https://img.mlbstatic.com/mlb-images/image/upload/t_4x5/t_w372/mlb/pie6xftt2ezihfhz3bbv.jpg")</f>
        <v/>
      </c>
    </row>
    <row r="196" ht="113.25" customHeight="1">
      <c r="A196" s="3">
        <v>2023.0</v>
      </c>
      <c r="B196" s="4">
        <v>45182.0</v>
      </c>
      <c r="C196" s="3" t="s">
        <v>76</v>
      </c>
      <c r="D196" s="3" t="b">
        <v>1</v>
      </c>
      <c r="E196" s="1" t="str">
        <f>IMAGE("https://img.mlbstatic.com/mlb-images/image/upload/t_4x5/t_w372/mlb/qqvyi8p4wjjauerd6kcb.jpg")</f>
        <v/>
      </c>
    </row>
    <row r="197" ht="113.25" customHeight="1">
      <c r="A197" s="3">
        <v>2023.0</v>
      </c>
      <c r="B197" s="4">
        <v>45191.0</v>
      </c>
      <c r="C197" s="3" t="s">
        <v>114</v>
      </c>
      <c r="D197" s="3" t="b">
        <v>1</v>
      </c>
      <c r="E197" s="1" t="str">
        <f>IMAGE("https://img.mlbstatic.com/mlb-images/image/upload/t_4x5/t_w372/mlb/gbdiiiar3xuunckaizkq.jpg")</f>
        <v/>
      </c>
    </row>
    <row r="198" ht="113.25" customHeight="1">
      <c r="A198" s="1">
        <v>2024.0</v>
      </c>
      <c r="B198" s="5">
        <v>45381.0</v>
      </c>
      <c r="C198" s="1" t="s">
        <v>138</v>
      </c>
      <c r="D198" s="2" t="b">
        <v>0</v>
      </c>
      <c r="E198" s="1" t="str">
        <f>IMAGE("https://img.mlbstatic.com/mlb-images/image/upload/t_4x5/t_w372/mlb/mrp4r9qxkzs1gcrpanqa.jpg")</f>
        <v/>
      </c>
    </row>
    <row r="199" ht="113.25" customHeight="1">
      <c r="A199" s="3">
        <v>2024.0</v>
      </c>
      <c r="B199" s="4">
        <v>45395.0</v>
      </c>
      <c r="C199" s="3" t="s">
        <v>157</v>
      </c>
      <c r="D199" s="3" t="b">
        <v>1</v>
      </c>
      <c r="E199" s="1" t="str">
        <f>IMAGE("https://img.mlbstatic.com/mlb-images/image/upload/t_4x5/t_w372/mlb/j1o3zfs9gn1cqbb1pdj8.jpg")</f>
        <v/>
      </c>
    </row>
    <row r="200" ht="113.25" customHeight="1">
      <c r="A200" s="3">
        <v>2024.0</v>
      </c>
      <c r="B200" s="4">
        <v>45402.0</v>
      </c>
      <c r="C200" s="3" t="s">
        <v>109</v>
      </c>
      <c r="D200" s="3" t="b">
        <v>1</v>
      </c>
      <c r="E200" s="1" t="str">
        <f>IMAGE("https://img.mlbstatic.com/mlb-images/image/upload/t_4x5/t_w372/mlb/otegebwpjue0wabxe4mi.jpg")</f>
        <v/>
      </c>
    </row>
    <row r="201" ht="113.25" customHeight="1">
      <c r="A201" s="3">
        <v>2024.0</v>
      </c>
      <c r="B201" s="4">
        <v>45428.0</v>
      </c>
      <c r="C201" s="3" t="s">
        <v>158</v>
      </c>
      <c r="D201" s="3" t="b">
        <v>1</v>
      </c>
      <c r="E201" s="1" t="str">
        <f>IMAGE("https://img.mlbstatic.com/mlb-images/image/upload/t_4x5/t_w372/mlb/xjxhrg6cbh0femkpdu4q.jpg")</f>
        <v/>
      </c>
    </row>
    <row r="202" ht="113.25" customHeight="1">
      <c r="A202" s="1">
        <v>2024.0</v>
      </c>
      <c r="B202" s="5">
        <v>45430.0</v>
      </c>
      <c r="C202" s="1" t="s">
        <v>132</v>
      </c>
      <c r="D202" s="2" t="b">
        <v>0</v>
      </c>
      <c r="E202" s="1" t="str">
        <f>IMAGE("https://img.mlbstatic.com/mlb-images/image/upload/t_4x5/t_w372/mlb/dkuplkoz4tphwarsfjm0.jpg")</f>
        <v/>
      </c>
    </row>
    <row r="203" ht="113.25" customHeight="1">
      <c r="A203" s="1">
        <v>2024.0</v>
      </c>
      <c r="B203" s="5">
        <v>45433.0</v>
      </c>
      <c r="C203" s="1" t="s">
        <v>129</v>
      </c>
      <c r="D203" s="2" t="b">
        <v>0</v>
      </c>
      <c r="E203" s="1" t="str">
        <f>IMAGE("https://img.mlbstatic.com/mlb-images/image/upload/t_4x5/t_w372/mlb/qrsh0jzwh69tiy4y5b4p.jpg")</f>
        <v/>
      </c>
    </row>
    <row r="204" ht="113.25" customHeight="1">
      <c r="A204" s="3">
        <v>2024.0</v>
      </c>
      <c r="B204" s="4">
        <v>45444.0</v>
      </c>
      <c r="C204" s="3" t="s">
        <v>159</v>
      </c>
      <c r="D204" s="3" t="b">
        <v>1</v>
      </c>
      <c r="E204" s="1" t="str">
        <f>IMAGE("https://img.mlbstatic.com/mlb-images/image/upload/t_4x5/t_w372/mlb/iyp3fxit1j8o7wkpzwcq.jpg")</f>
        <v/>
      </c>
    </row>
    <row r="205" ht="113.25" customHeight="1">
      <c r="A205" s="1">
        <v>2024.0</v>
      </c>
      <c r="B205" s="5">
        <v>45456.0</v>
      </c>
      <c r="C205" s="1" t="s">
        <v>160</v>
      </c>
      <c r="D205" s="2" t="b">
        <v>0</v>
      </c>
      <c r="E205" s="1" t="str">
        <f>IMAGE("https://img.mlbstatic.com/mlb-images/image/upload/t_4x5/t_w372/mlb/tns0d42jpaj3dcdvb6bq.jpg")</f>
        <v/>
      </c>
    </row>
    <row r="206" ht="113.25" customHeight="1">
      <c r="A206" s="3">
        <v>2024.0</v>
      </c>
      <c r="B206" s="4">
        <v>45476.0</v>
      </c>
      <c r="C206" s="3" t="s">
        <v>161</v>
      </c>
      <c r="D206" s="3" t="b">
        <v>1</v>
      </c>
      <c r="E206" s="1" t="str">
        <f>IMAGE("https://img.mlbstatic.com/mlb-images/image/upload/t_4x5/t_w372/mlb/ak2qhv9akfxnkc5jamhu.jpg")</f>
        <v/>
      </c>
    </row>
    <row r="207" ht="113.25" customHeight="1">
      <c r="A207" s="3">
        <v>2024.0</v>
      </c>
      <c r="B207" s="4">
        <v>45479.0</v>
      </c>
      <c r="C207" s="3" t="s">
        <v>162</v>
      </c>
      <c r="D207" s="3" t="b">
        <v>1</v>
      </c>
      <c r="E207" s="1" t="str">
        <f>IMAGE("https://img.mlbstatic.com/mlb-images/image/upload/t_4x5/t_w372/mlb/mwe4qvfirnvdbvqv9s67.jpg")</f>
        <v/>
      </c>
    </row>
    <row r="208" ht="113.25" customHeight="1">
      <c r="A208" s="1">
        <v>2024.0</v>
      </c>
      <c r="B208" s="5">
        <v>45497.0</v>
      </c>
      <c r="C208" s="1" t="s">
        <v>163</v>
      </c>
      <c r="D208" s="2" t="b">
        <v>0</v>
      </c>
      <c r="E208" s="1" t="str">
        <f>IMAGE("https://img.mlbstatic.com/mlb-images/image/upload/t_4x5/t_w372/mlb/h1g6nbkgaxwr5xcadqs5.jpg")</f>
        <v/>
      </c>
    </row>
    <row r="209" ht="113.25" customHeight="1">
      <c r="A209" s="1">
        <v>2024.0</v>
      </c>
      <c r="B209" s="5">
        <v>45511.0</v>
      </c>
      <c r="C209" s="1" t="s">
        <v>54</v>
      </c>
      <c r="D209" s="2" t="b">
        <v>0</v>
      </c>
      <c r="E209" s="1" t="str">
        <f>IMAGE("https://img.mlbstatic.com/mlb-images/image/upload/t_4x5/t_w372/mlb/ogvggrespdnyaubd6h4k.jpg")</f>
        <v/>
      </c>
    </row>
    <row r="210" ht="113.25" customHeight="1">
      <c r="A210" s="1">
        <v>2024.0</v>
      </c>
      <c r="B210" s="5">
        <v>45513.0</v>
      </c>
      <c r="C210" s="1" t="s">
        <v>78</v>
      </c>
      <c r="D210" s="2" t="b">
        <v>0</v>
      </c>
      <c r="E210" s="1" t="str">
        <f>IMAGE("https://img.mlbstatic.com/mlb-images/image/upload/t_4x5/t_w372/mlb/pwh36jpr3w06hu0mdfcn.jpg")</f>
        <v/>
      </c>
    </row>
    <row r="211" ht="113.25" customHeight="1">
      <c r="A211" s="3">
        <v>2024.0</v>
      </c>
      <c r="B211" s="4">
        <v>45515.0</v>
      </c>
      <c r="C211" s="3" t="s">
        <v>29</v>
      </c>
      <c r="D211" s="3" t="b">
        <v>1</v>
      </c>
      <c r="E211" s="1" t="str">
        <f>IMAGE("https://img.mlbstatic.com/mlb-images/image/upload/t_4x5/t_w372/mlb/k1maiftw8i7kzmyy0flr.jpg")</f>
        <v/>
      </c>
    </row>
    <row r="212" ht="113.25" customHeight="1">
      <c r="A212" s="1">
        <v>2024.0</v>
      </c>
      <c r="B212" s="5">
        <v>45524.0</v>
      </c>
      <c r="C212" s="1" t="s">
        <v>164</v>
      </c>
      <c r="D212" s="2" t="b">
        <v>0</v>
      </c>
      <c r="E212" s="1" t="str">
        <f>IMAGE("https://img.mlbstatic.com/mlb-images/image/upload/t_4x5/t_w372/mlb/qbvqsblpydmxhur2tyyq.jpg")</f>
        <v/>
      </c>
    </row>
    <row r="213" ht="113.25" customHeight="1">
      <c r="A213" s="6">
        <v>2024.0</v>
      </c>
      <c r="B213" s="7">
        <v>45532.0</v>
      </c>
      <c r="C213" s="6" t="s">
        <v>158</v>
      </c>
      <c r="D213" s="8" t="b">
        <v>0</v>
      </c>
      <c r="E213" s="1" t="str">
        <f>IMAGE("https://img.mlbstatic.com/mlb-images/image/upload/t_4x5/t_w372/mlb/rug5zejeptpav7u6qtii.jpg")</f>
        <v/>
      </c>
    </row>
    <row r="214" ht="113.25" customHeight="1">
      <c r="A214" s="3">
        <v>2024.0</v>
      </c>
      <c r="B214" s="4">
        <v>45542.0</v>
      </c>
      <c r="C214" s="3" t="s">
        <v>165</v>
      </c>
      <c r="D214" s="3" t="b">
        <v>1</v>
      </c>
      <c r="E214" s="1" t="str">
        <f>IMAGE("https://img.mlbstatic.com/mlb-images/image/upload/t_4x5/t_w372/mlb/dslvwynxkhw6sugnrbcy.jpg")</f>
        <v/>
      </c>
    </row>
    <row r="215" ht="113.25" customHeight="1">
      <c r="A215" s="1">
        <v>2024.0</v>
      </c>
      <c r="B215" s="5">
        <v>45546.0</v>
      </c>
      <c r="C215" s="1" t="s">
        <v>112</v>
      </c>
      <c r="D215" s="2" t="b">
        <v>0</v>
      </c>
      <c r="E215" s="1" t="str">
        <f>IMAGE("https://img.mlbstatic.com/mlb-images/image/upload/t_4x5/t_w372/mlb/kqovbf7j9ajc44z2rcns.jpg")</f>
        <v/>
      </c>
    </row>
    <row r="216" ht="113.25" customHeight="1">
      <c r="A216" s="1">
        <v>2024.0</v>
      </c>
      <c r="B216" s="5">
        <v>45560.0</v>
      </c>
      <c r="C216" s="1" t="s">
        <v>34</v>
      </c>
      <c r="D216" s="1" t="b">
        <v>0</v>
      </c>
      <c r="E216" s="1" t="str">
        <f>IMAGE("https://img.mlbstatic.com/mlb-images/image/upload/t_4x5/t_w372/mlb/uxn5j4erqnxmorfce6mc.jpg")</f>
        <v/>
      </c>
    </row>
    <row r="217" ht="113.25" customHeight="1">
      <c r="A217" s="6">
        <v>2025.0</v>
      </c>
      <c r="B217" s="7">
        <v>45749.0</v>
      </c>
      <c r="C217" s="6" t="s">
        <v>166</v>
      </c>
      <c r="D217" s="8" t="b">
        <v>0</v>
      </c>
      <c r="E217" s="1" t="str">
        <f>IMAGE("https://img.mlbstatic.com/mlb-images/image/upload/t_4x5/t_w372/mlb/p1jvfg31zn4dunpus9t9.jpg")</f>
        <v/>
      </c>
    </row>
    <row r="218" ht="113.25" customHeight="1">
      <c r="A218" s="6">
        <v>2025.0</v>
      </c>
      <c r="B218" s="7">
        <v>45758.0</v>
      </c>
      <c r="C218" s="6" t="s">
        <v>167</v>
      </c>
      <c r="D218" s="8" t="b">
        <v>0</v>
      </c>
      <c r="E218" s="1" t="str">
        <f>IMAGE("https://img.mlbstatic.com/mlb-images/image/upload/t_4x5/t_w372/mlb/fqw7qjgkga7iryzh2pvj.jpg")</f>
        <v/>
      </c>
    </row>
    <row r="219" ht="113.25" customHeight="1">
      <c r="A219" s="3">
        <v>2025.0</v>
      </c>
      <c r="B219" s="4">
        <v>45773.0</v>
      </c>
      <c r="C219" s="3" t="s">
        <v>76</v>
      </c>
      <c r="D219" s="3" t="b">
        <v>1</v>
      </c>
      <c r="E219" s="1" t="str">
        <f>IMAGE("https://img.mlbstatic.com/mlb-images/image/upload/t_4x5/t_w372/mlb/edigonb53ldrfiq2bio9.jpg")</f>
        <v/>
      </c>
    </row>
    <row r="220" ht="113.25" customHeight="1">
      <c r="A220" s="3">
        <v>2025.0</v>
      </c>
      <c r="B220" s="4">
        <v>45790.0</v>
      </c>
      <c r="C220" s="3" t="s">
        <v>129</v>
      </c>
      <c r="D220" s="3" t="b">
        <v>1</v>
      </c>
      <c r="E220" s="1" t="str">
        <f>IMAGE("https://img.mlbstatic.com/mlb-images/image/upload/t_4x5/t_w372/mlb/se7ekjgzjjwoadyxvivz.jpg")</f>
        <v/>
      </c>
    </row>
    <row r="221" ht="113.25" customHeight="1">
      <c r="A221" s="3">
        <v>2025.0</v>
      </c>
      <c r="B221" s="4">
        <v>45792.0</v>
      </c>
      <c r="C221" s="3" t="s">
        <v>168</v>
      </c>
      <c r="D221" s="3" t="b">
        <v>1</v>
      </c>
      <c r="E221" s="1" t="str">
        <f>IMAGE("https://img.mlbstatic.com/mlb-images/image/upload/t_4x5/t_w372/mlb/unk8pyaejbiso9gflnte.jpg")</f>
        <v/>
      </c>
    </row>
    <row r="222" ht="113.25" customHeight="1">
      <c r="A222" s="1">
        <v>2025.0</v>
      </c>
      <c r="B222" s="5">
        <v>45796.0</v>
      </c>
      <c r="C222" s="1" t="s">
        <v>50</v>
      </c>
      <c r="D222" s="2" t="b">
        <v>0</v>
      </c>
      <c r="E222" s="1" t="str">
        <f>IMAGE("https://img.mlbstatic.com/mlb-images/image/upload/t_4x5/t_w372/mlb/ve3uj7rgfoyusnxwgwzm.jpg")</f>
        <v/>
      </c>
    </row>
    <row r="223" ht="113.25" customHeight="1">
      <c r="A223" s="1">
        <v>2025.0</v>
      </c>
      <c r="B223" s="5">
        <v>45798.0</v>
      </c>
      <c r="C223" s="1" t="s">
        <v>132</v>
      </c>
      <c r="D223" s="2" t="b">
        <v>0</v>
      </c>
      <c r="E223" s="1" t="str">
        <f>IMAGE("https://img.mlbstatic.com/mlb-images/image/upload/t_4x5/t_w372/mlb/wwbq1echdt1jtqsesgj4.jpg")</f>
        <v/>
      </c>
    </row>
    <row r="224" ht="113.25" customHeight="1">
      <c r="A224" s="3">
        <v>2025.0</v>
      </c>
      <c r="B224" s="4">
        <v>45810.0</v>
      </c>
      <c r="C224" s="3" t="s">
        <v>169</v>
      </c>
      <c r="D224" s="3" t="b">
        <v>1</v>
      </c>
      <c r="E224" s="1" t="str">
        <f>IMAGE("https://img.mlbstatic.com/mlb-images/image/upload/t_4x5/t_w372/mlb/enpz2r0cuay9mpzgajb9.jpg")</f>
        <v/>
      </c>
    </row>
    <row r="225" ht="113.25" customHeight="1">
      <c r="A225" s="1">
        <v>2025.0</v>
      </c>
      <c r="B225" s="5">
        <v>45854.0</v>
      </c>
      <c r="C225" s="1" t="s">
        <v>170</v>
      </c>
      <c r="D225" s="2" t="b">
        <v>0</v>
      </c>
      <c r="E225" s="1" t="str">
        <f>IMAGE("https://img.mlbstatic.com/mlb-images/image/upload/t_4x5/t_w372/mlb/umr3ttbkhhiyuxgstkgy.jpg")</f>
        <v/>
      </c>
    </row>
    <row r="226" ht="113.25" customHeight="1">
      <c r="A226" s="6">
        <v>2025.0</v>
      </c>
      <c r="B226" s="7">
        <v>45829.0</v>
      </c>
      <c r="C226" s="6" t="s">
        <v>171</v>
      </c>
      <c r="D226" s="8" t="b">
        <v>0</v>
      </c>
      <c r="E226" s="1" t="str">
        <f>IMAGE("https://img.mlbstatic.com/mlb-images/image/upload/t_4x5/t_w372/mlb/a54fbmof8karrarfp95p.jpg")</f>
        <v/>
      </c>
    </row>
    <row r="227" ht="113.25" customHeight="1">
      <c r="A227" s="1">
        <v>2025.0</v>
      </c>
      <c r="B227" s="5">
        <v>45840.0</v>
      </c>
      <c r="C227" s="1" t="s">
        <v>160</v>
      </c>
      <c r="D227" s="2" t="b">
        <v>0</v>
      </c>
      <c r="E227" s="1" t="str">
        <f>IMAGE("https://img.mlbstatic.com/mlb-images/image/upload/t_4x5/t_w372/mlb/dtaperco8lejadkg0imw.jpg")</f>
        <v/>
      </c>
    </row>
    <row r="228" ht="113.25" customHeight="1">
      <c r="A228" s="3">
        <v>2025.0</v>
      </c>
      <c r="B228" s="4">
        <v>45856.0</v>
      </c>
      <c r="C228" s="3" t="s">
        <v>172</v>
      </c>
      <c r="D228" s="3" t="b">
        <v>1</v>
      </c>
      <c r="E228" s="1" t="str">
        <f>IMAGE("https://img.mlbstatic.com/mlb-images/image/upload/t_4x5/t_w372/v1747235892/mlb/djrzozg8esfn9mffymmz.jpg")</f>
        <v/>
      </c>
    </row>
    <row r="229" ht="113.25" customHeight="1">
      <c r="A229" s="1">
        <v>2025.0</v>
      </c>
      <c r="B229" s="5">
        <v>45857.0</v>
      </c>
      <c r="C229" s="1" t="s">
        <v>5</v>
      </c>
      <c r="D229" s="2" t="b">
        <v>0</v>
      </c>
      <c r="E229" s="1" t="str">
        <f>IMAGE("https://img.mlbstatic.com/mlb-images/image/upload/t_4x5/t_w372/mlb/ythbfxc0zcnicgkgsycx.jpg")</f>
        <v/>
      </c>
    </row>
    <row r="230" ht="113.25" customHeight="1">
      <c r="A230" s="1">
        <v>2025.0</v>
      </c>
      <c r="B230" s="5">
        <v>45860.0</v>
      </c>
      <c r="C230" s="1" t="s">
        <v>164</v>
      </c>
      <c r="D230" s="2" t="b">
        <v>0</v>
      </c>
      <c r="E230" s="1" t="str">
        <f>IMAGE("https://img.mlbstatic.com/mlb-images/image/upload/t_4x5/t_w372/mlb/faz2dsviaxg0vm8gyzo2.jpg")</f>
        <v/>
      </c>
    </row>
    <row r="231" ht="113.25" customHeight="1">
      <c r="A231" s="1">
        <v>2025.0</v>
      </c>
      <c r="B231" s="5">
        <v>45873.0</v>
      </c>
      <c r="C231" s="1" t="s">
        <v>173</v>
      </c>
      <c r="D231" s="1" t="b">
        <v>0</v>
      </c>
      <c r="E231" s="1" t="str">
        <f>IMAGE("https://img.mlbstatic.com/mlb-images/image/upload/t_4x5/t_w372/mlb/fjgqw8qryjkijb91qygy.jpg")</f>
        <v/>
      </c>
    </row>
    <row r="232" ht="113.25" customHeight="1">
      <c r="A232" s="1">
        <v>2025.0</v>
      </c>
      <c r="B232" s="5">
        <v>45877.0</v>
      </c>
      <c r="C232" s="1" t="s">
        <v>174</v>
      </c>
      <c r="D232" s="2" t="b">
        <v>0</v>
      </c>
      <c r="E232" s="1" t="str">
        <f>IMAGE("https://img.mlbstatic.com/mlb-images/image/upload/t_4x5/t_w372/mlb/sheft1hctgmqlnyhmjrh.jpg")</f>
        <v/>
      </c>
    </row>
    <row r="233" ht="113.25" customHeight="1">
      <c r="A233" s="1">
        <v>2025.0</v>
      </c>
      <c r="B233" s="5">
        <v>45885.0</v>
      </c>
      <c r="C233" s="1" t="s">
        <v>175</v>
      </c>
      <c r="D233" s="2" t="b">
        <v>0</v>
      </c>
      <c r="E233" s="1" t="str">
        <f>IMAGE("https://img.mlbstatic.com/mlb-images/image/upload/t_4x5/t_w372/mlb/necki61oakg2xjko0ech.jpg")</f>
        <v/>
      </c>
    </row>
    <row r="234" ht="113.25" customHeight="1">
      <c r="A234" s="6">
        <v>2025.0</v>
      </c>
      <c r="B234" s="7">
        <v>45896.0</v>
      </c>
      <c r="C234" s="6" t="s">
        <v>176</v>
      </c>
      <c r="D234" s="6" t="b">
        <v>0</v>
      </c>
      <c r="E234" s="1" t="str">
        <f>IMAGE("https://img.mlbstatic.com/mlb-images/image/upload/t_4x5/t_w372/mlb/c4dkwpdzublwwrurx2ii.jpg")</f>
        <v/>
      </c>
    </row>
    <row r="235" ht="113.25" customHeight="1">
      <c r="A235" s="1">
        <v>2025.0</v>
      </c>
      <c r="B235" s="5">
        <v>45900.0</v>
      </c>
      <c r="C235" s="1" t="s">
        <v>177</v>
      </c>
      <c r="D235" s="1" t="b">
        <v>0</v>
      </c>
      <c r="E235" s="1" t="str">
        <f>IMAGE("https://img.mlbstatic.com/mlb-images/image/upload/t_4x5/t_w372/mlb/essvezexdqnv89ekxgvz.jpg")</f>
        <v/>
      </c>
    </row>
    <row r="236" ht="113.25" customHeight="1">
      <c r="A236" s="1">
        <v>2025.0</v>
      </c>
      <c r="B236" s="5">
        <v>45910.0</v>
      </c>
      <c r="C236" s="1" t="s">
        <v>178</v>
      </c>
      <c r="D236" s="2" t="b">
        <v>0</v>
      </c>
      <c r="E236" s="1" t="str">
        <f>IMAGE("https://img.mlbstatic.com/mlb-images/image/upload/t_4x5/t_w372/mlb/mfzyii3zitji92tan0oy.jpg")</f>
        <v/>
      </c>
    </row>
    <row r="237" ht="113.25" customHeight="1">
      <c r="A237" s="3">
        <v>2025.0</v>
      </c>
      <c r="B237" s="4">
        <v>45918.0</v>
      </c>
      <c r="C237" s="3" t="s">
        <v>159</v>
      </c>
      <c r="D237" s="3" t="b">
        <v>1</v>
      </c>
      <c r="E237" s="1" t="str">
        <f>IMAGE("https://img.mlbstatic.com/mlb-images/image/upload/t_4x5/t_w372/mlb/ure1k9cbonropcpdq569.jpg")</f>
        <v/>
      </c>
    </row>
    <row r="238" ht="113.25" customHeight="1">
      <c r="A238" s="1">
        <v>2025.0</v>
      </c>
      <c r="B238" s="5">
        <v>45919.0</v>
      </c>
      <c r="C238" s="1" t="s">
        <v>179</v>
      </c>
      <c r="D238" s="2" t="b">
        <v>0</v>
      </c>
      <c r="E238" s="1" t="str">
        <f>IMAGE("https://img.mlbstatic.com/mlb-images/image/upload/t_4x5/t_w372/mlb/obcunfude1zhembtwktl.jpg")</f>
        <v/>
      </c>
    </row>
    <row r="239" ht="113.25" customHeight="1">
      <c r="A239" s="1">
        <v>2025.0</v>
      </c>
      <c r="B239" s="5">
        <v>45920.0</v>
      </c>
      <c r="C239" s="1" t="s">
        <v>180</v>
      </c>
      <c r="D239" s="2" t="b">
        <v>0</v>
      </c>
      <c r="E239" s="1" t="str">
        <f>IMAGE("https://img.mlbstatic.com/mlb-images/image/upload/t_4x5/t_w372/mlb/j7spbkez34qf8nxgd0nk.jpg")</f>
        <v/>
      </c>
    </row>
    <row r="240">
      <c r="A240" s="1" t="s">
        <v>181</v>
      </c>
      <c r="B240" s="5"/>
      <c r="C240" s="1"/>
      <c r="D240" s="1">
        <f>COUNTIF(D2:D239, TRUE)
</f>
        <v>87</v>
      </c>
      <c r="E240" s="1" t="str">
        <f>IMAGE("")</f>
        <v/>
      </c>
    </row>
  </sheetData>
  <drawing r:id="rId1"/>
</worksheet>
</file>