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dgers_sga_bobbleheads" sheetId="1" r:id="rId5"/>
  </sheets>
  <definedNames/>
  <calcPr/>
</workbook>
</file>

<file path=xl/sharedStrings.xml><?xml version="1.0" encoding="utf-8"?>
<sst xmlns="http://schemas.openxmlformats.org/spreadsheetml/2006/main" count="162" uniqueCount="100">
  <si>
    <t>Date</t>
  </si>
  <si>
    <t>Bobblehead</t>
  </si>
  <si>
    <t>Team</t>
  </si>
  <si>
    <t>Photo</t>
  </si>
  <si>
    <t>Jason Giambi (2000 MVP)</t>
  </si>
  <si>
    <t>Athletics</t>
  </si>
  <si>
    <t>Tim Hudson</t>
  </si>
  <si>
    <t>Eric Chavez Gold Glove</t>
  </si>
  <si>
    <t>Jim "Catfish" Hunter</t>
  </si>
  <si>
    <t>Miguel Tejada (2002 MVP)</t>
  </si>
  <si>
    <t>Ramon Hernandez</t>
  </si>
  <si>
    <t>Dave Stewart (2004 Season Ticket Holders)</t>
  </si>
  <si>
    <t>Reggie Jackson</t>
  </si>
  <si>
    <t>Carney Lansford</t>
  </si>
  <si>
    <t>Vida Blue</t>
  </si>
  <si>
    <t>Dennis Eckersly</t>
  </si>
  <si>
    <t>Jason Kendall</t>
  </si>
  <si>
    <t>Huston Street (2005 Rookie of the Year)</t>
  </si>
  <si>
    <t>Huston Street</t>
  </si>
  <si>
    <t>Nick Swisher (Left Handed)</t>
  </si>
  <si>
    <t>Nick Swisher (Right Handed)</t>
  </si>
  <si>
    <t>Dan Haren</t>
  </si>
  <si>
    <t>Frank Thomas</t>
  </si>
  <si>
    <t>Eric Chavez (6 Gold Gloves - Non Gold)</t>
  </si>
  <si>
    <t>Milton Bradley</t>
  </si>
  <si>
    <t>Mike Piazza</t>
  </si>
  <si>
    <t>Mark Ellis</t>
  </si>
  <si>
    <t>Travis Buck</t>
  </si>
  <si>
    <t>Justin Duchscherer (All-Star)</t>
  </si>
  <si>
    <t>Roy Steele</t>
  </si>
  <si>
    <t>Ray Fosse</t>
  </si>
  <si>
    <t>Josh Donaldson Tarp Catch Diorama</t>
  </si>
  <si>
    <t>Bob Melvin</t>
  </si>
  <si>
    <t>Sean Manaea (No-Hitter)</t>
  </si>
  <si>
    <t>Matt Chapman Gold Glove</t>
  </si>
  <si>
    <t>Mike Fiers (No-Hitter)</t>
  </si>
  <si>
    <t>Ramon "Laser" Laureano</t>
  </si>
  <si>
    <t>Mark Kotsay Mandalorian (Star Wars)</t>
  </si>
  <si>
    <t>Rollie Fingers</t>
  </si>
  <si>
    <t>Brent Rooker</t>
  </si>
  <si>
    <t>Brent Rooker (Silver Slugger)</t>
  </si>
  <si>
    <t>Mason Miller</t>
  </si>
  <si>
    <t>Lawrence Butler</t>
  </si>
  <si>
    <t>N/A</t>
  </si>
  <si>
    <t>Rollie Fingers Cooperstown Collection</t>
  </si>
  <si>
    <t>Ryan Braun (50th Anniversary)</t>
  </si>
  <si>
    <t>Brewers</t>
  </si>
  <si>
    <t>Scott Rolen</t>
  </si>
  <si>
    <t>Cardinals</t>
  </si>
  <si>
    <t>Ozzie Smith Backflip</t>
  </si>
  <si>
    <t>Barry Zito</t>
  </si>
  <si>
    <t>Giants</t>
  </si>
  <si>
    <t>Jeremy Affeldt</t>
  </si>
  <si>
    <t>Frank Robinson</t>
  </si>
  <si>
    <t>Troy Tulowitski</t>
  </si>
  <si>
    <t>Long Beach State</t>
  </si>
  <si>
    <t>Jered Weaver</t>
  </si>
  <si>
    <t>Ichiro Suzuki</t>
  </si>
  <si>
    <t>Mariners</t>
  </si>
  <si>
    <t>Macklemore</t>
  </si>
  <si>
    <t>Stephen Strasburg</t>
  </si>
  <si>
    <t>Nationals</t>
  </si>
  <si>
    <t>Trevor Hoffman</t>
  </si>
  <si>
    <t>Padres</t>
  </si>
  <si>
    <t>Roberto Clemente</t>
  </si>
  <si>
    <t>Pirates</t>
  </si>
  <si>
    <t>Dustin May</t>
  </si>
  <si>
    <t>Rancho Cucamonga Quakes</t>
  </si>
  <si>
    <t>Jared &amp; Eric Karros</t>
  </si>
  <si>
    <t>Dalton Rushing</t>
  </si>
  <si>
    <t>Yasiel Puig WIld Horse</t>
  </si>
  <si>
    <t>Reds</t>
  </si>
  <si>
    <t>Nick Ahmed</t>
  </si>
  <si>
    <t>Reno Aces</t>
  </si>
  <si>
    <t>Didi Gregorious</t>
  </si>
  <si>
    <t>Whit Merrifield (Two-Hit Whit)</t>
  </si>
  <si>
    <t>Royals</t>
  </si>
  <si>
    <t xml:space="preserve">Heliot Ramos </t>
  </si>
  <si>
    <t>Sacramento Rivercats</t>
  </si>
  <si>
    <t>Bobby Crosby</t>
  </si>
  <si>
    <t>Stockton Ports</t>
  </si>
  <si>
    <t>Grant Green</t>
  </si>
  <si>
    <t>Jemile Weeks</t>
  </si>
  <si>
    <t>Miles Head</t>
  </si>
  <si>
    <t>AJ Griffin</t>
  </si>
  <si>
    <t>Sean Doolittle</t>
  </si>
  <si>
    <t>Addison Russell</t>
  </si>
  <si>
    <t>Blake Treinan</t>
  </si>
  <si>
    <t>Lou Trevino</t>
  </si>
  <si>
    <t>Max Muncy</t>
  </si>
  <si>
    <t>Sean Manaea (Giraffe)</t>
  </si>
  <si>
    <t>Tyler Soderstrom</t>
  </si>
  <si>
    <t>Nate Diaz</t>
  </si>
  <si>
    <t>Aaron Judge</t>
  </si>
  <si>
    <t>Ryan Constant (Hockey)</t>
  </si>
  <si>
    <t>Stockton Thunder</t>
  </si>
  <si>
    <t>Prince Fielder</t>
  </si>
  <si>
    <t>Tigers</t>
  </si>
  <si>
    <t>Harmon Killebrew (STH Red Variant)</t>
  </si>
  <si>
    <t>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</si>
</sst>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mm-dd-yyyy"/>
    <numFmt numFmtId="166" formatCode="mm/dd/yyyy"/>
    <numFmt numFmtId="167" formatCode="m/d/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wrapText="1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88"/>
    <col customWidth="1" min="2" max="2" width="35.88"/>
    <col customWidth="1" min="3" max="3" width="29.25"/>
    <col customWidth="1" min="4" max="4" width="21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 ht="123.0" customHeight="1">
      <c r="A2" s="2">
        <v>37030.0</v>
      </c>
      <c r="B2" s="3" t="s">
        <v>4</v>
      </c>
      <c r="C2" s="3" t="s">
        <v>5</v>
      </c>
      <c r="D2" s="4" t="str">
        <f>IMAGE("https://img.mlbstatic.com/mlb-images/image/private/t_4x5/t_w372/mlb/vbjchmyhlvgxtsm0sxxt.jpg")</f>
        <v/>
      </c>
    </row>
    <row r="3" ht="123.0" customHeight="1">
      <c r="A3" s="2">
        <v>37373.0</v>
      </c>
      <c r="B3" s="3" t="s">
        <v>6</v>
      </c>
      <c r="C3" s="3" t="s">
        <v>5</v>
      </c>
      <c r="D3" s="4" t="str">
        <f>IMAGE("https://img.mlbstatic.com/mlb-images/image/private/t_4x5/t_w372/mlb/um8wur4qm7hnxik8incd.jpg")</f>
        <v/>
      </c>
    </row>
    <row r="4" ht="123.0" customHeight="1">
      <c r="A4" s="2">
        <v>37401.0</v>
      </c>
      <c r="B4" s="3" t="s">
        <v>7</v>
      </c>
      <c r="C4" s="3" t="s">
        <v>5</v>
      </c>
      <c r="D4" s="4" t="str">
        <f>IMAGE("https://img.mlbstatic.com/mlb-images/image/private/t_4x5/t_w372/mlb/nqe4osewyl5qfdr7zeqe.jpg")</f>
        <v/>
      </c>
    </row>
    <row r="5" ht="123.0" customHeight="1">
      <c r="A5" s="2">
        <v>37444.0</v>
      </c>
      <c r="B5" s="3" t="s">
        <v>8</v>
      </c>
      <c r="C5" s="3" t="s">
        <v>5</v>
      </c>
      <c r="D5" s="4" t="str">
        <f>IMAGE("https://img.mlbstatic.com/mlb-images/image/private/t_4x5/t_w372/mlb/v8yqxhu0topolwrssfel.jpg")</f>
        <v/>
      </c>
    </row>
    <row r="6" ht="123.0" customHeight="1">
      <c r="A6" s="2">
        <v>37737.0</v>
      </c>
      <c r="B6" s="3" t="s">
        <v>9</v>
      </c>
      <c r="C6" s="3" t="s">
        <v>5</v>
      </c>
      <c r="D6" s="4" t="str">
        <f>IMAGE("https://img.mlbstatic.com/mlb-images/image/private/t_4x5/t_w372/mlb/mtsaumi4p4ra0int95lr.jpg")</f>
        <v/>
      </c>
    </row>
    <row r="7" ht="123.0" customHeight="1">
      <c r="A7" s="2">
        <v>37814.0</v>
      </c>
      <c r="B7" s="3" t="s">
        <v>10</v>
      </c>
      <c r="C7" s="3" t="s">
        <v>5</v>
      </c>
      <c r="D7" s="4" t="str">
        <f>IMAGE("https://img.mlbstatic.com/mlb-images/image/private/t_4x5/t_w372/mlb/emyl8kzddrzjb18e8qcw.jpg")</f>
        <v/>
      </c>
    </row>
    <row r="8" ht="123.0" customHeight="1">
      <c r="A8" s="5">
        <v>38078.0</v>
      </c>
      <c r="B8" s="3" t="s">
        <v>11</v>
      </c>
      <c r="C8" s="3" t="s">
        <v>5</v>
      </c>
      <c r="D8" s="4" t="str">
        <f>IMAGE("https://img.mlbstatic.com/mlb-images/image/private/t_4x5/t_w372/mlb/azrsvclt47iudps9uo7j.jpg")</f>
        <v/>
      </c>
    </row>
    <row r="9" ht="123.0" customHeight="1">
      <c r="A9" s="2">
        <v>38130.0</v>
      </c>
      <c r="B9" s="3" t="s">
        <v>12</v>
      </c>
      <c r="C9" s="3" t="s">
        <v>5</v>
      </c>
      <c r="D9" s="4" t="str">
        <f>IMAGE("https://img.mlbstatic.com/mlb-images/image/private/t_4x5/t_w372/mlb/m0whlhzzlxixizveicdh.jpg")</f>
        <v/>
      </c>
    </row>
    <row r="10" ht="123.0" customHeight="1">
      <c r="A10" s="2">
        <v>38151.0</v>
      </c>
      <c r="B10" s="3" t="s">
        <v>13</v>
      </c>
      <c r="C10" s="3" t="s">
        <v>5</v>
      </c>
      <c r="D10" s="4" t="str">
        <f>IMAGE("https://img.mlbstatic.com/mlb-images/image/private/t_4x5/t_w372/mlb/qitb2tu2zxcgyogaacfa.jpg")</f>
        <v/>
      </c>
    </row>
    <row r="11" ht="123.0" customHeight="1">
      <c r="A11" s="2">
        <v>38186.0</v>
      </c>
      <c r="B11" s="3" t="s">
        <v>14</v>
      </c>
      <c r="C11" s="3" t="s">
        <v>5</v>
      </c>
      <c r="D11" s="4" t="str">
        <f>IMAGE("https://img.mlbstatic.com/mlb-images/image/private/t_4x5/t_w372/mlb/ll3saflhpjqwgxvwvmgp.jpg")</f>
        <v/>
      </c>
    </row>
    <row r="12" ht="123.0" customHeight="1">
      <c r="A12" s="2">
        <v>38214.0</v>
      </c>
      <c r="B12" s="3" t="s">
        <v>15</v>
      </c>
      <c r="C12" s="3" t="s">
        <v>5</v>
      </c>
      <c r="D12" s="4" t="str">
        <f>IMAGE("https://img.mlbstatic.com/mlb-images/image/private/t_4x5/t_w372/mlb/ayyzoinrx52ozknybxhl.jpg")</f>
        <v/>
      </c>
    </row>
    <row r="13" ht="123.0" customHeight="1">
      <c r="A13" s="5">
        <v>38564.0</v>
      </c>
      <c r="B13" s="3" t="s">
        <v>16</v>
      </c>
      <c r="C13" s="3" t="s">
        <v>5</v>
      </c>
      <c r="D13" s="4" t="str">
        <f>IMAGE("https://img.mlbstatic.com/mlb-images/image/private/t_4x5/t_w372/mlb/hcwaxidmpfl7ve4ifn46.jpg")</f>
        <v/>
      </c>
    </row>
    <row r="14" ht="123.0" customHeight="1">
      <c r="A14" s="5">
        <v>38823.0</v>
      </c>
      <c r="B14" s="3" t="s">
        <v>17</v>
      </c>
      <c r="C14" s="3" t="s">
        <v>5</v>
      </c>
      <c r="D14" s="4" t="str">
        <f t="shared" ref="D14:D15" si="1">IMAGE("https://img.mlbstatic.com/mlb-images/image/private/t_4x5/t_w372/mlb/q0jw9bhx4gzej0e1rvpq.jpg")</f>
        <v/>
      </c>
    </row>
    <row r="15" ht="123.0" customHeight="1">
      <c r="A15" s="2">
        <v>38823.0</v>
      </c>
      <c r="B15" s="3" t="s">
        <v>18</v>
      </c>
      <c r="C15" s="3" t="s">
        <v>5</v>
      </c>
      <c r="D15" s="4" t="str">
        <f t="shared" si="1"/>
        <v/>
      </c>
    </row>
    <row r="16" ht="123.0" customHeight="1">
      <c r="A16" s="5">
        <v>38843.0</v>
      </c>
      <c r="B16" s="3" t="s">
        <v>19</v>
      </c>
      <c r="C16" s="3" t="s">
        <v>5</v>
      </c>
      <c r="D16" s="4" t="str">
        <f t="shared" ref="D16:D17" si="2">IMAGE("https://img.mlbstatic.com/mlb-images/image/private/t_4x5/t_w372/mlb/lym1epswyhsopyyhoxrq.jpg")</f>
        <v/>
      </c>
    </row>
    <row r="17" ht="123.0" customHeight="1">
      <c r="A17" s="5">
        <v>38843.0</v>
      </c>
      <c r="B17" s="3" t="s">
        <v>20</v>
      </c>
      <c r="C17" s="3" t="s">
        <v>5</v>
      </c>
      <c r="D17" s="4" t="str">
        <f t="shared" si="2"/>
        <v/>
      </c>
    </row>
    <row r="18" ht="123.0" customHeight="1">
      <c r="A18" s="2">
        <v>38928.0</v>
      </c>
      <c r="B18" s="3" t="s">
        <v>21</v>
      </c>
      <c r="C18" s="3" t="s">
        <v>5</v>
      </c>
      <c r="D18" s="4" t="str">
        <f>IMAGE("https://img.mlbstatic.com/mlb-images/image/private/t_4x5/t_w372/mlb/zwwidd7flhiug3d3myji.jpg")</f>
        <v/>
      </c>
    </row>
    <row r="19" ht="123.0" customHeight="1">
      <c r="A19" s="2">
        <v>38965.0</v>
      </c>
      <c r="B19" s="3" t="s">
        <v>22</v>
      </c>
      <c r="C19" s="3" t="s">
        <v>5</v>
      </c>
      <c r="D19" s="4" t="str">
        <f>IMAGE("https://img.mlbstatic.com/mlb-images/image/private/t_4x5/t_w372/mlb/nh4m7fpavgf7guipytcf.jpg")</f>
        <v/>
      </c>
    </row>
    <row r="20" ht="123.0" customHeight="1">
      <c r="A20" s="2">
        <v>39200.0</v>
      </c>
      <c r="B20" s="3" t="s">
        <v>23</v>
      </c>
      <c r="C20" s="3" t="s">
        <v>5</v>
      </c>
      <c r="D20" s="4" t="str">
        <f>IMAGE("https://img.mlbstatic.com/mlb-images/image/private/t_4x5/t_w372/mlb/zlnzkeyvtg5n6mdryphs.jpg")</f>
        <v/>
      </c>
    </row>
    <row r="21" ht="123.0" customHeight="1">
      <c r="A21" s="2">
        <v>39231.0</v>
      </c>
      <c r="B21" s="3" t="s">
        <v>24</v>
      </c>
      <c r="C21" s="3" t="s">
        <v>5</v>
      </c>
      <c r="D21" s="4" t="str">
        <f>IMAGE("https://img.mlbstatic.com/mlb-images/image/private/t_4x5/t_w372/mlb/ionl6uygcdkbrnsvebnu.jpg")</f>
        <v/>
      </c>
    </row>
    <row r="22" ht="123.0" customHeight="1">
      <c r="A22" s="2">
        <v>39284.0</v>
      </c>
      <c r="B22" s="3" t="s">
        <v>25</v>
      </c>
      <c r="C22" s="3" t="s">
        <v>5</v>
      </c>
      <c r="D22" s="4" t="str">
        <f>IMAGE("https://img.mlbstatic.com/mlb-images/image/private/t_4x5/t_w372/mlb/a72dyx6jjtaz4d6m5n86.jpg")</f>
        <v/>
      </c>
    </row>
    <row r="23" ht="123.0" customHeight="1">
      <c r="A23" s="5">
        <v>39322.0</v>
      </c>
      <c r="B23" s="3" t="s">
        <v>26</v>
      </c>
      <c r="C23" s="3" t="s">
        <v>5</v>
      </c>
      <c r="D23" s="4" t="str">
        <f>IMAGE("https://img.mlbstatic.com/mlb-images/image/private/t_4x5/t_w372/mlb/eblw19jruroydudqo6xq.jpg")</f>
        <v/>
      </c>
    </row>
    <row r="24" ht="123.0" customHeight="1">
      <c r="A24" s="2">
        <v>39557.0</v>
      </c>
      <c r="B24" s="3" t="s">
        <v>27</v>
      </c>
      <c r="C24" s="3" t="s">
        <v>5</v>
      </c>
      <c r="D24" s="4" t="str">
        <f>IMAGE("https://img.mlbstatic.com/mlb-images/image/private/t_4x5/t_w372/mlb/cl1jltcebdehgitdnfsb.jpg")</f>
        <v/>
      </c>
    </row>
    <row r="25" ht="123.0" customHeight="1">
      <c r="A25" s="2">
        <v>39942.0</v>
      </c>
      <c r="B25" s="3" t="s">
        <v>28</v>
      </c>
      <c r="C25" s="3" t="s">
        <v>5</v>
      </c>
      <c r="D25" s="4" t="str">
        <f>IMAGE("https://img.mlbstatic.com/mlb-images/image/private/t_4x5/t_w372/mlb/lrjadtjgdmrodxhpg1nr.jpg")</f>
        <v/>
      </c>
    </row>
    <row r="26" ht="123.0" customHeight="1">
      <c r="A26" s="2">
        <v>40285.0</v>
      </c>
      <c r="B26" s="3" t="s">
        <v>29</v>
      </c>
      <c r="C26" s="3" t="s">
        <v>5</v>
      </c>
      <c r="D26" s="4" t="str">
        <f>IMAGE("https://img.mlbstatic.com/mlb-images/image/private/t_4x5/t_w372/mlb/fw1p8j2kqj5icyri8bvd.jpg")</f>
        <v/>
      </c>
    </row>
    <row r="27" ht="123.0" customHeight="1">
      <c r="A27" s="5">
        <v>40768.0</v>
      </c>
      <c r="B27" s="3" t="s">
        <v>30</v>
      </c>
      <c r="C27" s="3" t="s">
        <v>5</v>
      </c>
      <c r="D27" s="4" t="str">
        <f>IMAGE("https://img.mlbstatic.com/mlb-images/image/private/t_4x5/t_w372/mlb/jz8hnjrjnxqtfrxunls0.jpg")</f>
        <v/>
      </c>
    </row>
    <row r="28" ht="123.0" customHeight="1">
      <c r="A28" s="2">
        <v>41748.0</v>
      </c>
      <c r="B28" s="3" t="s">
        <v>31</v>
      </c>
      <c r="C28" s="3" t="s">
        <v>5</v>
      </c>
      <c r="D28" s="4" t="str">
        <f>IMAGE("https://img.mlbstatic.com/mlb-images/image/private/t_4x5/t_w372/mlb/oienr5hw9l2jgqomgkub.jpg")</f>
        <v/>
      </c>
    </row>
    <row r="29" ht="123.0" customHeight="1">
      <c r="A29" s="2">
        <v>42861.0</v>
      </c>
      <c r="B29" s="3" t="s">
        <v>32</v>
      </c>
      <c r="C29" s="3" t="s">
        <v>5</v>
      </c>
      <c r="D29" s="4" t="str">
        <f>IMAGE("https://img.mlbstatic.com/mlb-images/image/private/t_4x5/t_w372/mlb/xfoiqsisc98ijaqx1nha.jpg")</f>
        <v/>
      </c>
    </row>
    <row r="30" ht="123.0" customHeight="1">
      <c r="A30" s="2">
        <v>43364.0</v>
      </c>
      <c r="B30" s="3" t="s">
        <v>33</v>
      </c>
      <c r="C30" s="3" t="s">
        <v>5</v>
      </c>
      <c r="D30" s="4" t="str">
        <f>IMAGE("https://img.mlbstatic.com/mlb-images/image/private/t_4x5/t_w372/mlb/idsawtefrwe9yxqoggm4.jpg")</f>
        <v/>
      </c>
    </row>
    <row r="31" ht="123.0" customHeight="1">
      <c r="A31" s="2">
        <v>43575.0</v>
      </c>
      <c r="B31" s="3" t="s">
        <v>34</v>
      </c>
      <c r="C31" s="3" t="s">
        <v>5</v>
      </c>
      <c r="D31" s="4" t="str">
        <f>IMAGE("https://img.mlbstatic.com/mlb-images/image/private/t_4x5/t_w372/mlb/bhikd0nfog0nitgijkun.jpg")</f>
        <v/>
      </c>
    </row>
    <row r="32" ht="123.0" customHeight="1">
      <c r="A32" s="2">
        <v>43728.0</v>
      </c>
      <c r="B32" s="3" t="s">
        <v>35</v>
      </c>
      <c r="C32" s="3" t="s">
        <v>5</v>
      </c>
      <c r="D32" s="4" t="str">
        <f>IMAGE("https://img.mlbstatic.com/mlb-images/image/private/t_4x5/t_w372/mlb/p2wbhqia1sxqzvywieol.jpg")</f>
        <v/>
      </c>
    </row>
    <row r="33" ht="123.0" customHeight="1">
      <c r="A33" s="2">
        <v>43730.0</v>
      </c>
      <c r="B33" s="3" t="s">
        <v>36</v>
      </c>
      <c r="C33" s="3" t="s">
        <v>5</v>
      </c>
      <c r="D33" s="4" t="str">
        <f>IMAGE("https://img.mlbstatic.com/mlb-images/image/private/t_4x5/t_w372/mlb/ko9cl8gcinlqn3x02yw2.jpg")</f>
        <v/>
      </c>
    </row>
    <row r="34" ht="123.0" customHeight="1">
      <c r="A34" s="2">
        <v>45050.0</v>
      </c>
      <c r="B34" s="3" t="s">
        <v>37</v>
      </c>
      <c r="C34" s="3" t="s">
        <v>5</v>
      </c>
      <c r="D34" s="4" t="str">
        <f>IMAGE("https://img.mlbstatic.com/mlb-images/image/upload/t_4x5/t_w372/mlb/svfuznysewnpkozzeue6.jpg")</f>
        <v/>
      </c>
    </row>
    <row r="35" ht="123.0" customHeight="1">
      <c r="A35" s="2">
        <v>45480.0</v>
      </c>
      <c r="B35" s="3" t="s">
        <v>38</v>
      </c>
      <c r="C35" s="3" t="s">
        <v>5</v>
      </c>
      <c r="D35" s="4" t="str">
        <f>IMAGE("https://img.mlbstatic.com/mlb-images/image/upload/t_4x5/t_w372/mlb/qx1vedugglurrzzvznxx.png")</f>
        <v/>
      </c>
    </row>
    <row r="36" ht="123.0" customHeight="1">
      <c r="A36" s="2">
        <v>45512.0</v>
      </c>
      <c r="B36" s="3" t="s">
        <v>14</v>
      </c>
      <c r="C36" s="3" t="s">
        <v>5</v>
      </c>
      <c r="D36" s="4" t="str">
        <f>IMAGE("https://img.mlbstatic.com/mlb-images/image/upload/t_4x5/t_w372/mlb/zjhtg8gsqibehbhpkk9j.png")</f>
        <v/>
      </c>
    </row>
    <row r="37" ht="123.0" customHeight="1">
      <c r="A37" s="2">
        <v>45816.0</v>
      </c>
      <c r="B37" s="3" t="s">
        <v>39</v>
      </c>
      <c r="C37" s="3" t="s">
        <v>5</v>
      </c>
      <c r="D37" s="4" t="str">
        <f>IMAGE("https://bullpenbobbles.com/wp-content/uploads/Brent-Rooker-Oakland-Athletics-2025.jpg")</f>
        <v/>
      </c>
    </row>
    <row r="38" ht="123.0" customHeight="1">
      <c r="A38" s="2">
        <v>45816.0</v>
      </c>
      <c r="B38" s="3" t="s">
        <v>40</v>
      </c>
      <c r="C38" s="3" t="s">
        <v>5</v>
      </c>
      <c r="D38" s="4" t="str">
        <f>IMAGE("https://preview.redd.it/o5z2upqeas5f1.png?width=1080&amp;crop=smart&amp;auto=webp&amp;s=76f59a8a5cf7d96240c69e7f440abb457dab48d7")</f>
        <v/>
      </c>
    </row>
    <row r="39" ht="123.0" customHeight="1">
      <c r="A39" s="2">
        <v>45830.0</v>
      </c>
      <c r="B39" s="3" t="s">
        <v>41</v>
      </c>
      <c r="C39" s="3" t="s">
        <v>5</v>
      </c>
      <c r="D39" s="4" t="str">
        <f>IMAGE("https://bullpenbobbles.com/wp-content/uploads/Mason-Miller-Oakland-Athletics-2025.jpg")</f>
        <v/>
      </c>
    </row>
    <row r="40" ht="123.0" customHeight="1">
      <c r="A40" s="6">
        <v>45848.0</v>
      </c>
      <c r="B40" s="3" t="s">
        <v>42</v>
      </c>
      <c r="C40" s="3" t="s">
        <v>5</v>
      </c>
      <c r="D40" s="4" t="str">
        <f>IMAGE("https://pbs.twimg.com/media/Gvf2v3fakAQwy46.jpg")</f>
        <v/>
      </c>
    </row>
    <row r="41" ht="123.0" customHeight="1">
      <c r="A41" s="3" t="s">
        <v>43</v>
      </c>
      <c r="B41" s="3" t="s">
        <v>44</v>
      </c>
      <c r="C41" s="3" t="s">
        <v>5</v>
      </c>
      <c r="D41" s="4" t="str">
        <f>IMAGE("https://www.kevinsavagecards.com/ItemImages/000295/295680a_lg.jpeg")</f>
        <v/>
      </c>
    </row>
    <row r="42" ht="123.0" customHeight="1">
      <c r="A42" s="6">
        <v>44444.0</v>
      </c>
      <c r="B42" s="3" t="s">
        <v>45</v>
      </c>
      <c r="C42" s="3" t="s">
        <v>46</v>
      </c>
      <c r="D42" s="4" t="str">
        <f>IMAGE("https://i.ebayimg.com/images/g/m9EAAOSwhDRh4135/s-l1200.jpg")</f>
        <v/>
      </c>
    </row>
    <row r="43" ht="123.0" customHeight="1">
      <c r="A43" s="2">
        <v>45521.0</v>
      </c>
      <c r="B43" s="3" t="s">
        <v>47</v>
      </c>
      <c r="C43" s="3" t="s">
        <v>48</v>
      </c>
      <c r="D43" s="4" t="str">
        <f>IMAGE("https://i.ebayimg.com/00/s/MTYwMFgxNjAw/z/3d4AAOSwOh5mgh6u/$_57.JPG?set_id=880000500F")</f>
        <v/>
      </c>
    </row>
    <row r="44" ht="123.0" customHeight="1">
      <c r="A44" s="2">
        <v>45862.0</v>
      </c>
      <c r="B44" s="3" t="s">
        <v>49</v>
      </c>
      <c r="C44" s="3" t="s">
        <v>48</v>
      </c>
      <c r="D44" s="4" t="str">
        <f>IMAGE("https://encrypted-tbn0.gstatic.com/images?q=tbn:ANd9GcTCKMf6-EPC5xt3PX_fnCbNF5WIzZaCPTwuvg&amp;s")</f>
        <v/>
      </c>
    </row>
    <row r="45" ht="123.0" customHeight="1">
      <c r="A45" s="2">
        <v>41400.0</v>
      </c>
      <c r="B45" s="3" t="s">
        <v>50</v>
      </c>
      <c r="C45" s="3" t="s">
        <v>51</v>
      </c>
      <c r="D45" s="4" t="str">
        <f>IMAGE("http://www.stadiumgiveawayexchange.com/wp-content/uploads/2013/08/Giants052613-Bobblehead.jpg.webp")</f>
        <v/>
      </c>
    </row>
    <row r="46" ht="123.0" customHeight="1">
      <c r="A46" s="7">
        <v>42168.0</v>
      </c>
      <c r="B46" s="3" t="s">
        <v>52</v>
      </c>
      <c r="C46" s="3" t="s">
        <v>51</v>
      </c>
      <c r="D46" s="4" t="str">
        <f>IMAGE("https://u-mercari-images.mercdn.net/photos/m68839241196_1.jpg")</f>
        <v/>
      </c>
    </row>
    <row r="47" ht="123.0" customHeight="1">
      <c r="A47" s="2">
        <v>42991.0</v>
      </c>
      <c r="B47" s="3" t="s">
        <v>53</v>
      </c>
      <c r="C47" s="3" t="s">
        <v>51</v>
      </c>
      <c r="D47" s="4" t="str">
        <f>IMAGE("https://i.pinimg.com/736x/95/d1/a7/95d1a77e3017c94e1e2b6cb372953aee.jpg")</f>
        <v/>
      </c>
    </row>
    <row r="48" ht="123.0" customHeight="1">
      <c r="A48" s="2">
        <v>40642.0</v>
      </c>
      <c r="B48" s="3" t="s">
        <v>54</v>
      </c>
      <c r="C48" s="3" t="s">
        <v>55</v>
      </c>
      <c r="D48" s="4" t="str">
        <f>IMAGE("https://www.picclickimg.com/LW8AAOSwUT5mxaHP/Troy-Tulowitzki-Bobblehead-Long-Beach-Colorado-Rockies.webp")</f>
        <v/>
      </c>
    </row>
    <row r="49" ht="123.0" customHeight="1">
      <c r="A49" s="2">
        <v>6688461.0</v>
      </c>
      <c r="B49" s="3" t="s">
        <v>56</v>
      </c>
      <c r="C49" s="3" t="s">
        <v>55</v>
      </c>
      <c r="D49" s="4" t="str">
        <f>IMAGE("https://u-mercari-images.mercdn.net/photos/m24889189721_3.jpg")</f>
        <v/>
      </c>
    </row>
    <row r="50" ht="123.0" customHeight="1">
      <c r="A50" s="2">
        <v>39563.0</v>
      </c>
      <c r="B50" s="3" t="s">
        <v>57</v>
      </c>
      <c r="C50" s="3" t="s">
        <v>58</v>
      </c>
      <c r="D50" s="4" t="str">
        <f>IMAGE("https://images.pristineauction.com/247/2479607/share_1663691668-Ichiro-Suzuki-2008-UW-Medicine-Mariners-Bobblehead-PristineAuction.com.jpg")</f>
        <v/>
      </c>
    </row>
    <row r="51" ht="123.0" customHeight="1">
      <c r="A51" s="2">
        <v>41802.0</v>
      </c>
      <c r="B51" s="3" t="s">
        <v>59</v>
      </c>
      <c r="C51" s="3" t="s">
        <v>58</v>
      </c>
      <c r="D51" s="4" t="str">
        <f>IMAGE("https://www.stadiumgiveawayexchange.com/wp-content/uploads/2014/06/Seattle-Mariner-Macklemore-Bobblehead-61214.jpg")</f>
        <v/>
      </c>
    </row>
    <row r="52" ht="123.0" customHeight="1">
      <c r="A52" s="2">
        <v>41088.0</v>
      </c>
      <c r="B52" s="3" t="s">
        <v>60</v>
      </c>
      <c r="C52" s="3" t="s">
        <v>61</v>
      </c>
      <c r="D52" s="4" t="str">
        <f>IMAGE("https://i.ebayimg.com/images/g/09IAAOSwuHRim2XG/s-l400.jpg")</f>
        <v/>
      </c>
    </row>
    <row r="53" ht="123.0" customHeight="1">
      <c r="A53" s="2">
        <v>43281.0</v>
      </c>
      <c r="B53" s="3" t="s">
        <v>62</v>
      </c>
      <c r="C53" s="3" t="s">
        <v>63</v>
      </c>
      <c r="D53" s="4" t="str">
        <f>IMAGE("https://images.pristineauction.com/142/1428742/1581727283-Trevor-Hoffman-Signed-Padres-Bobblehead-PSA-Hologram-PristineAuction.com.jpg")</f>
        <v/>
      </c>
    </row>
    <row r="54" ht="123.0" customHeight="1">
      <c r="A54" s="2">
        <v>37142.0</v>
      </c>
      <c r="B54" s="3" t="s">
        <v>64</v>
      </c>
      <c r="C54" s="3" t="s">
        <v>65</v>
      </c>
      <c r="D54" s="4" t="str">
        <f>IMAGE("https://images.saymedia-content.com/.image/t_share/MTk0Nzk4NDYyMDk2MjU0MTE0/the-definitive-pittsburgh-pirates-bobblehead-list.jpg")</f>
        <v/>
      </c>
    </row>
    <row r="55" ht="123.0" customHeight="1">
      <c r="A55" s="2">
        <v>45072.0</v>
      </c>
      <c r="B55" s="3" t="s">
        <v>66</v>
      </c>
      <c r="C55" s="3" t="s">
        <v>67</v>
      </c>
      <c r="D55" s="4" t="str">
        <f>IMAGE("https://bullpenbobbles.com/wp-content/uploads/Dustin-May-Rancho-Cucamonga-Quakes-2023.jpg")</f>
        <v/>
      </c>
    </row>
    <row r="56" ht="123.0" customHeight="1">
      <c r="A56" s="2">
        <v>45429.0</v>
      </c>
      <c r="B56" s="3" t="s">
        <v>68</v>
      </c>
      <c r="C56" s="3" t="s">
        <v>67</v>
      </c>
      <c r="D56" s="4" t="str">
        <f>IMAGE("https://bullpenbobbles.com/wp-content/uploads/Jared-Eric-Karros-Rancho-Cucamonga-Quakes-2024.jpg")</f>
        <v/>
      </c>
    </row>
    <row r="57" ht="123.0" customHeight="1">
      <c r="A57" s="3" t="s">
        <v>43</v>
      </c>
      <c r="B57" s="3" t="s">
        <v>69</v>
      </c>
      <c r="C57" s="3" t="s">
        <v>67</v>
      </c>
      <c r="D57" s="4" t="str">
        <f>IMAGE("https://i.ebayimg.com/images/g/7XgAAeSwTpdpc-GZ/s-l500.png")</f>
        <v/>
      </c>
    </row>
    <row r="58" ht="123.0" customHeight="1">
      <c r="A58" s="2">
        <v>43675.0</v>
      </c>
      <c r="B58" s="3" t="s">
        <v>70</v>
      </c>
      <c r="C58" s="3" t="s">
        <v>71</v>
      </c>
      <c r="D58" s="4" t="str">
        <f>IMAGE("https://encrypted-tbn0.gstatic.com/images?q=tbn:ANd9GcSnbfVJ0XfNwCS9oEoWYGTybZR5ph6naQ-y0A&amp;s")</f>
        <v/>
      </c>
    </row>
    <row r="59" ht="123.0" customHeight="1">
      <c r="A59" s="2">
        <v>42182.0</v>
      </c>
      <c r="B59" s="3" t="s">
        <v>72</v>
      </c>
      <c r="C59" s="3" t="s">
        <v>73</v>
      </c>
      <c r="D59" s="4" t="str">
        <f>IMAGE("https://bullpenbobbles.com/wp-content/uploads/Nick-Ahmed-Reno-Aces-2015.jpg")</f>
        <v/>
      </c>
    </row>
    <row r="60" ht="123.0" customHeight="1">
      <c r="A60" s="2">
        <v>43344.0</v>
      </c>
      <c r="B60" s="3" t="s">
        <v>74</v>
      </c>
      <c r="C60" s="3" t="s">
        <v>73</v>
      </c>
      <c r="D60" s="4" t="str">
        <f>IMAGE("https://encrypted-tbn3.gstatic.com/shopping?q=tbn:ANd9GcSmOIdTP1jCC9bqEiU2bsYbL12hjAdup4ZQu4xYHQh-osSZowEAYTIbMTfMXzjoRAE5O9hQbKZXvAOM9rQZ3hKpPBaYYLcJOxD_6F867Ns")</f>
        <v/>
      </c>
    </row>
    <row r="61" ht="123.0" customHeight="1">
      <c r="A61" s="2">
        <v>43253.0</v>
      </c>
      <c r="B61" s="3" t="s">
        <v>75</v>
      </c>
      <c r="C61" s="3" t="s">
        <v>76</v>
      </c>
      <c r="D61" s="4" t="str">
        <f>IMAGE("https://www.stadiumgiveawayexchange.com/wp-content/uploads/2018/06/Kansas-City-Royals-Whit-Merrifield-Bobblehead-6-2-2018.jpg")</f>
        <v/>
      </c>
    </row>
    <row r="62" ht="123.0" customHeight="1">
      <c r="A62" s="2">
        <v>45744.0</v>
      </c>
      <c r="B62" s="3" t="s">
        <v>77</v>
      </c>
      <c r="C62" s="3" t="s">
        <v>78</v>
      </c>
      <c r="D62" s="4" t="str">
        <f>IMAGE("https://bullpenbobbles.com/wp-content/uploads/Heliot-Ramos-Sacramento-River-Cats-2025.jpg")</f>
        <v/>
      </c>
    </row>
    <row r="63" ht="123.0" customHeight="1">
      <c r="A63" s="2">
        <v>38598.0</v>
      </c>
      <c r="B63" s="3" t="s">
        <v>79</v>
      </c>
      <c r="C63" s="3" t="s">
        <v>80</v>
      </c>
      <c r="D63" s="4" t="str">
        <f>IMAGE("https://www.bobblesgalore.com/cdn/shop/products/bobbyc.jpg?v=1571607373")</f>
        <v/>
      </c>
    </row>
    <row r="64" ht="123.0" customHeight="1">
      <c r="A64" s="2">
        <v>40725.0</v>
      </c>
      <c r="B64" s="3" t="s">
        <v>81</v>
      </c>
      <c r="C64" s="3" t="s">
        <v>80</v>
      </c>
      <c r="D64" s="4" t="str">
        <f>IMAGE("https://bullpenbobbles.com/wp-content/uploads/Grant-Green-Stockton-Ports-2011.jpg")</f>
        <v/>
      </c>
    </row>
    <row r="65" ht="123.0" customHeight="1">
      <c r="A65" s="2">
        <v>41110.0</v>
      </c>
      <c r="B65" s="3" t="s">
        <v>82</v>
      </c>
      <c r="C65" s="3" t="s">
        <v>80</v>
      </c>
      <c r="D65" s="4" t="str">
        <f>IMAGE("https://bullpenbobbles.com/wp-content/uploads/Jemile-Weeks-Stockton-Ports-2012.jpg")</f>
        <v/>
      </c>
    </row>
    <row r="66" ht="123.0" customHeight="1">
      <c r="A66" s="2">
        <v>41433.0</v>
      </c>
      <c r="B66" s="3" t="s">
        <v>83</v>
      </c>
      <c r="C66" s="3" t="s">
        <v>80</v>
      </c>
      <c r="D66" s="4" t="str">
        <f>IMAGE("https://bullpenbobbles.com/wp-content/uploads/Miles-Head-Stockton-Ports-2013.jpg")</f>
        <v/>
      </c>
    </row>
    <row r="67" ht="123.0" customHeight="1">
      <c r="A67" s="2">
        <v>41474.0</v>
      </c>
      <c r="B67" s="3" t="s">
        <v>84</v>
      </c>
      <c r="C67" s="3" t="s">
        <v>80</v>
      </c>
      <c r="D67" s="4" t="str">
        <f>IMAGE("https://bullpenbobbles.com/wp-content/uploads/AJ-Griffin-Stockton-Ports-2013.jpg")</f>
        <v/>
      </c>
    </row>
    <row r="68" ht="123.0" customHeight="1">
      <c r="A68" s="2">
        <v>41846.0</v>
      </c>
      <c r="B68" s="3" t="s">
        <v>85</v>
      </c>
      <c r="C68" s="3" t="s">
        <v>80</v>
      </c>
      <c r="D68" s="4" t="str">
        <f>IMAGE("https://bullpenbobbles.com/wp-content/uploads/Sean-Doolittle-Stockton-Ports-2014.jpg")</f>
        <v/>
      </c>
    </row>
    <row r="69" ht="123.0" customHeight="1">
      <c r="A69" s="2">
        <v>42874.0</v>
      </c>
      <c r="B69" s="3" t="s">
        <v>86</v>
      </c>
      <c r="C69" s="3" t="s">
        <v>80</v>
      </c>
      <c r="D69" s="4" t="str">
        <f>IMAGE("https://bullpenbobbles.com/wp-content/uploads/Addison-Russell-Stockton-Ports-2017.jpg")</f>
        <v/>
      </c>
    </row>
    <row r="70" ht="123.0" customHeight="1">
      <c r="A70" s="2">
        <v>43625.0</v>
      </c>
      <c r="B70" s="3" t="s">
        <v>87</v>
      </c>
      <c r="C70" s="3" t="s">
        <v>80</v>
      </c>
      <c r="D70" s="4" t="str">
        <f>IMAGE("https://bullpenbobbles.com/wp-content/uploads/Blake-Treinen-Stockton-Ports-2019.jpg")</f>
        <v/>
      </c>
    </row>
    <row r="71" ht="123.0" customHeight="1">
      <c r="A71" s="2">
        <v>43655.0</v>
      </c>
      <c r="B71" s="3" t="s">
        <v>88</v>
      </c>
      <c r="C71" s="3" t="s">
        <v>80</v>
      </c>
      <c r="D71" s="4" t="str">
        <f>IMAGE("https://bullpenbobbles.com/wp-content/uploads/Lou-Trivino-Stockton-Ports-2019.jpg")</f>
        <v/>
      </c>
    </row>
    <row r="72" ht="123.0" customHeight="1">
      <c r="A72" s="2">
        <v>43686.0</v>
      </c>
      <c r="B72" s="3" t="s">
        <v>89</v>
      </c>
      <c r="C72" s="3" t="s">
        <v>80</v>
      </c>
      <c r="D72" s="4" t="str">
        <f>IMAGE("https://bullpenbobbles.com/wp-content/uploads/Max-Muncy-Stockton-Ports-2019.jpg")</f>
        <v/>
      </c>
    </row>
    <row r="73" ht="123.0" customHeight="1">
      <c r="A73" s="2">
        <v>44409.0</v>
      </c>
      <c r="B73" s="3" t="s">
        <v>90</v>
      </c>
      <c r="C73" s="3" t="s">
        <v>80</v>
      </c>
      <c r="D73" s="4" t="str">
        <f>IMAGE("https://i.ebayimg.com/images/g/ddYAAOSwdzVg5MtK/s-l1200.jpg")</f>
        <v/>
      </c>
    </row>
    <row r="74" ht="123.0" customHeight="1">
      <c r="A74" s="2">
        <v>45100.0</v>
      </c>
      <c r="B74" s="3" t="s">
        <v>91</v>
      </c>
      <c r="C74" s="3" t="s">
        <v>80</v>
      </c>
      <c r="D74" s="4" t="str">
        <f>IMAGE("https://i.ebayimg.com/00/s/MTYwMFgxMjAw/z/QIIAAOSwV7ZmG03I/$_12.JPG?set_id=880000500F")</f>
        <v/>
      </c>
    </row>
    <row r="75" ht="123.0" customHeight="1">
      <c r="A75" s="2">
        <v>45471.0</v>
      </c>
      <c r="B75" s="3" t="s">
        <v>92</v>
      </c>
      <c r="C75" s="3" t="s">
        <v>80</v>
      </c>
      <c r="D75" s="4" t="str">
        <f>IMAGE("https://pbs.twimg.com/media/GQJDhkHaIAAbByf.jpg")</f>
        <v/>
      </c>
    </row>
    <row r="76" ht="123.0" customHeight="1">
      <c r="A76" s="2">
        <v>45864.0</v>
      </c>
      <c r="B76" s="3" t="s">
        <v>93</v>
      </c>
      <c r="C76" s="3" t="s">
        <v>80</v>
      </c>
      <c r="D76" s="4" t="str">
        <f>IMAGE("https://bullpenbobbles.com/wp-content/uploads/Aaron-Judge-Stockton-Ports-2025.jpg")</f>
        <v/>
      </c>
    </row>
    <row r="77" ht="123.0" customHeight="1">
      <c r="A77" s="2">
        <v>42056.0</v>
      </c>
      <c r="B77" s="3" t="s">
        <v>94</v>
      </c>
      <c r="C77" s="3" t="s">
        <v>95</v>
      </c>
      <c r="D77" s="4" t="str">
        <f>IMAGE("https://i.ebayimg.com/images/g/p6IAAeSwz59o4FJx/s-l1600.webp")</f>
        <v/>
      </c>
    </row>
    <row r="78" ht="123.0" customHeight="1">
      <c r="A78" s="2">
        <v>41126.0</v>
      </c>
      <c r="B78" s="3" t="s">
        <v>96</v>
      </c>
      <c r="C78" s="3" t="s">
        <v>97</v>
      </c>
      <c r="D78" s="4" t="str">
        <f>IMAGE("https://m.media-amazon.com/images/I/81KXj65YxjL.jpg")</f>
        <v/>
      </c>
    </row>
    <row r="79" ht="123.0" customHeight="1">
      <c r="A79" s="2">
        <v>38808.0</v>
      </c>
      <c r="B79" s="3" t="s">
        <v>98</v>
      </c>
      <c r="C79" s="3" t="s">
        <v>99</v>
      </c>
      <c r="D79" s="4" t="str">
        <f>IMAGE("https://i.ebayimg.com/00/s/MTU5OVgxMTk5/z/meMAAOSw8pxnhGQV/$_12.JPG?set_id=880000500F")</f>
        <v/>
      </c>
    </row>
    <row r="80" ht="123.0" customHeight="1">
      <c r="A80" s="2"/>
      <c r="B80" s="3"/>
      <c r="C80" s="3"/>
      <c r="D80" s="4" t="str">
        <f t="shared" ref="D80:D84" si="3">IMAGE("")</f>
        <v/>
      </c>
    </row>
    <row r="81" ht="123.0" customHeight="1">
      <c r="A81" s="2"/>
      <c r="B81" s="3"/>
      <c r="C81" s="3"/>
      <c r="D81" s="4" t="str">
        <f t="shared" si="3"/>
        <v/>
      </c>
    </row>
    <row r="82" ht="123.0" customHeight="1">
      <c r="A82" s="2"/>
      <c r="B82" s="3"/>
      <c r="C82" s="3"/>
      <c r="D82" s="4" t="str">
        <f t="shared" si="3"/>
        <v/>
      </c>
    </row>
    <row r="83" ht="123.0" customHeight="1">
      <c r="A83" s="2"/>
      <c r="B83" s="3"/>
      <c r="C83" s="3"/>
      <c r="D83" s="4" t="str">
        <f t="shared" si="3"/>
        <v/>
      </c>
    </row>
    <row r="84" ht="123.0" customHeight="1">
      <c r="A84" s="2"/>
      <c r="B84" s="3"/>
      <c r="C84" s="3"/>
      <c r="D84" s="4" t="str">
        <f t="shared" si="3"/>
        <v/>
      </c>
    </row>
    <row r="85" ht="123.0" customHeight="1">
      <c r="A85" s="2"/>
      <c r="B85" s="3"/>
      <c r="C85" s="3"/>
      <c r="D85" s="4"/>
    </row>
    <row r="86" ht="123.0" customHeight="1">
      <c r="A86" s="2"/>
      <c r="B86" s="3"/>
      <c r="C86" s="3"/>
      <c r="D86" s="4"/>
    </row>
    <row r="87" ht="123.0" customHeight="1">
      <c r="A87" s="2"/>
      <c r="B87" s="3"/>
      <c r="C87" s="3"/>
      <c r="D87" s="4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