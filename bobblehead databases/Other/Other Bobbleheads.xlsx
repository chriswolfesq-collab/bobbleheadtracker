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dgers_sga_bobbleh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-dd-yyyy"/>
    <numFmt numFmtId="166" formatCode="mm/dd/yyyy"/>
    <numFmt numFmtId="167" formatCode="m/d/yyyy"/>
    <numFmt numFmtId="168" formatCode="yyyy-mm-dd h:mm:ss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0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D1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88" customWidth="1" style="8" min="1" max="1"/>
    <col width="35.88" customWidth="1" style="8" min="2" max="2"/>
    <col width="29.25" customWidth="1" style="8" min="3" max="3"/>
    <col width="21" customWidth="1" style="8" min="4" max="4"/>
  </cols>
  <sheetData>
    <row r="1">
      <c r="A1" s="1" t="inlineStr">
        <is>
          <t>Date</t>
        </is>
      </c>
      <c r="B1" s="1" t="inlineStr">
        <is>
          <t>Bobblehead</t>
        </is>
      </c>
      <c r="C1" s="1" t="inlineStr">
        <is>
          <t>Team</t>
        </is>
      </c>
      <c r="D1" s="1" t="inlineStr">
        <is>
          <t>Photo</t>
        </is>
      </c>
    </row>
    <row r="2" ht="123" customHeight="1" s="8">
      <c r="A2" s="2" t="n">
        <v>37030</v>
      </c>
      <c r="B2" s="3" t="inlineStr">
        <is>
          <t>Jason Giambi (2000 MVP)</t>
        </is>
      </c>
      <c r="C2" s="3" t="inlineStr">
        <is>
          <t>Athletics</t>
        </is>
      </c>
      <c r="D2" s="4">
        <f>IMAGE("https://img.mlbstatic.com/mlb-images/image/private/t_4x5/t_w372/mlb/vbjchmyhlvgxtsm0sxxt.jpg")</f>
        <v/>
      </c>
    </row>
    <row r="3" ht="123" customHeight="1" s="8">
      <c r="A3" s="2" t="n">
        <v>37373</v>
      </c>
      <c r="B3" s="3" t="inlineStr">
        <is>
          <t>Tim Hudson</t>
        </is>
      </c>
      <c r="C3" s="3" t="inlineStr">
        <is>
          <t>Athletics</t>
        </is>
      </c>
      <c r="D3" s="4">
        <f>IMAGE("https://img.mlbstatic.com/mlb-images/image/private/t_4x5/t_w372/mlb/um8wur4qm7hnxik8incd.jpg")</f>
        <v/>
      </c>
    </row>
    <row r="4" ht="123" customHeight="1" s="8">
      <c r="A4" s="2" t="n">
        <v>37401</v>
      </c>
      <c r="B4" s="3" t="inlineStr">
        <is>
          <t>Eric Chavez Gold Glove</t>
        </is>
      </c>
      <c r="C4" s="3" t="inlineStr">
        <is>
          <t>Athletics</t>
        </is>
      </c>
      <c r="D4" s="4">
        <f>IMAGE("https://img.mlbstatic.com/mlb-images/image/private/t_4x5/t_w372/mlb/nqe4osewyl5qfdr7zeqe.jpg")</f>
        <v/>
      </c>
    </row>
    <row r="5" ht="123" customHeight="1" s="8">
      <c r="A5" s="2" t="n">
        <v>37444</v>
      </c>
      <c r="B5" s="3" t="inlineStr">
        <is>
          <t>Jim "Catfish" Hunter</t>
        </is>
      </c>
      <c r="C5" s="3" t="inlineStr">
        <is>
          <t>Athletics</t>
        </is>
      </c>
      <c r="D5" s="4">
        <f>IMAGE("https://img.mlbstatic.com/mlb-images/image/private/t_4x5/t_w372/mlb/v8yqxhu0topolwrssfel.jpg")</f>
        <v/>
      </c>
    </row>
    <row r="6" ht="123" customHeight="1" s="8">
      <c r="A6" s="2" t="n">
        <v>37737</v>
      </c>
      <c r="B6" s="3" t="inlineStr">
        <is>
          <t>Miguel Tejada (2002 MVP)</t>
        </is>
      </c>
      <c r="C6" s="3" t="inlineStr">
        <is>
          <t>Athletics</t>
        </is>
      </c>
      <c r="D6" s="4">
        <f>IMAGE("https://img.mlbstatic.com/mlb-images/image/private/t_4x5/t_w372/mlb/mtsaumi4p4ra0int95lr.jpg")</f>
        <v/>
      </c>
    </row>
    <row r="7" ht="123" customHeight="1" s="8">
      <c r="A7" s="2" t="n">
        <v>37814</v>
      </c>
      <c r="B7" s="3" t="inlineStr">
        <is>
          <t>Ramon Hernandez</t>
        </is>
      </c>
      <c r="C7" s="3" t="inlineStr">
        <is>
          <t>Athletics</t>
        </is>
      </c>
      <c r="D7" s="4">
        <f>IMAGE("https://img.mlbstatic.com/mlb-images/image/private/t_4x5/t_w372/mlb/emyl8kzddrzjb18e8qcw.jpg")</f>
        <v/>
      </c>
    </row>
    <row r="8" ht="123" customHeight="1" s="8">
      <c r="A8" s="2" t="n">
        <v>38078</v>
      </c>
      <c r="B8" s="3" t="inlineStr">
        <is>
          <t>Dave Stewart (2004 Season Ticket Holders)</t>
        </is>
      </c>
      <c r="C8" s="3" t="inlineStr">
        <is>
          <t>Athletics</t>
        </is>
      </c>
      <c r="D8" s="4">
        <f>IMAGE("https://img.mlbstatic.com/mlb-images/image/private/t_4x5/t_w372/mlb/azrsvclt47iudps9uo7j.jpg")</f>
        <v/>
      </c>
    </row>
    <row r="9" ht="123" customHeight="1" s="8">
      <c r="A9" s="2" t="n">
        <v>38130</v>
      </c>
      <c r="B9" s="3" t="inlineStr">
        <is>
          <t>Reggie Jackson</t>
        </is>
      </c>
      <c r="C9" s="3" t="inlineStr">
        <is>
          <t>Athletics</t>
        </is>
      </c>
      <c r="D9" s="4">
        <f>IMAGE("https://img.mlbstatic.com/mlb-images/image/private/t_4x5/t_w372/mlb/m0whlhzzlxixizveicdh.jpg")</f>
        <v/>
      </c>
    </row>
    <row r="10" ht="123" customHeight="1" s="8">
      <c r="A10" s="2" t="n">
        <v>38151</v>
      </c>
      <c r="B10" s="3" t="inlineStr">
        <is>
          <t>Carney Lansford</t>
        </is>
      </c>
      <c r="C10" s="3" t="inlineStr">
        <is>
          <t>Athletics</t>
        </is>
      </c>
      <c r="D10" s="4">
        <f>IMAGE("https://img.mlbstatic.com/mlb-images/image/private/t_4x5/t_w372/mlb/qitb2tu2zxcgyogaacfa.jpg")</f>
        <v/>
      </c>
    </row>
    <row r="11" ht="123" customHeight="1" s="8">
      <c r="A11" s="2" t="n">
        <v>38186</v>
      </c>
      <c r="B11" s="3" t="inlineStr">
        <is>
          <t>Vida Blue</t>
        </is>
      </c>
      <c r="C11" s="3" t="inlineStr">
        <is>
          <t>Athletics</t>
        </is>
      </c>
      <c r="D11" s="4">
        <f>IMAGE("https://img.mlbstatic.com/mlb-images/image/private/t_4x5/t_w372/mlb/ll3saflhpjqwgxvwvmgp.jpg")</f>
        <v/>
      </c>
    </row>
    <row r="12" ht="123" customHeight="1" s="8">
      <c r="A12" s="2" t="n">
        <v>38214</v>
      </c>
      <c r="B12" s="3" t="inlineStr">
        <is>
          <t>Dennis Eckersly</t>
        </is>
      </c>
      <c r="C12" s="3" t="inlineStr">
        <is>
          <t>Athletics</t>
        </is>
      </c>
      <c r="D12" s="4">
        <f>IMAGE("https://img.mlbstatic.com/mlb-images/image/private/t_4x5/t_w372/mlb/ayyzoinrx52ozknybxhl.jpg")</f>
        <v/>
      </c>
    </row>
    <row r="13" ht="123" customHeight="1" s="8">
      <c r="A13" s="2" t="n">
        <v>38564</v>
      </c>
      <c r="B13" s="3" t="inlineStr">
        <is>
          <t>Jason Kendall</t>
        </is>
      </c>
      <c r="C13" s="3" t="inlineStr">
        <is>
          <t>Athletics</t>
        </is>
      </c>
      <c r="D13" s="4">
        <f>IMAGE("https://img.mlbstatic.com/mlb-images/image/private/t_4x5/t_w372/mlb/hcwaxidmpfl7ve4ifn46.jpg")</f>
        <v/>
      </c>
    </row>
    <row r="14" ht="123" customHeight="1" s="8">
      <c r="A14" s="2" t="n">
        <v>38823</v>
      </c>
      <c r="B14" s="3" t="inlineStr">
        <is>
          <t>Huston Street</t>
        </is>
      </c>
      <c r="C14" s="3" t="inlineStr">
        <is>
          <t>Athletics</t>
        </is>
      </c>
      <c r="D14" s="4">
        <f>IMAGE("https://img.mlbstatic.com/mlb-images/image/private/t_4x5/t_w372/mlb/q0jw9bhx4gzej0e1rvpq.jpg")</f>
        <v/>
      </c>
    </row>
    <row r="15" ht="123" customHeight="1" s="8">
      <c r="A15" s="2" t="n">
        <v>38823</v>
      </c>
      <c r="B15" s="3" t="inlineStr">
        <is>
          <t>Huston Street (2005 Rookie of the Year)</t>
        </is>
      </c>
      <c r="C15" s="3" t="inlineStr">
        <is>
          <t>Athletics</t>
        </is>
      </c>
      <c r="D15" s="4">
        <f>IMAGE("https://img.mlbstatic.com/mlb-images/image/private/t_4x5/t_w372/mlb/q0jw9bhx4gzej0e1rvpq.jpg")</f>
        <v/>
      </c>
    </row>
    <row r="16" ht="123" customHeight="1" s="8">
      <c r="A16" s="2" t="n">
        <v>38843</v>
      </c>
      <c r="B16" s="3" t="inlineStr">
        <is>
          <t>Nick Swisher (Left Handed)</t>
        </is>
      </c>
      <c r="C16" s="3" t="inlineStr">
        <is>
          <t>Athletics</t>
        </is>
      </c>
      <c r="D16" s="4">
        <f>IMAGE("https://img.mlbstatic.com/mlb-images/image/private/t_4x5/t_w372/mlb/lym1epswyhsopyyhoxrq.jpg")</f>
        <v/>
      </c>
    </row>
    <row r="17" ht="123" customHeight="1" s="8">
      <c r="A17" s="2" t="n">
        <v>38843</v>
      </c>
      <c r="B17" s="3" t="inlineStr">
        <is>
          <t>Nick Swisher (Right Handed)</t>
        </is>
      </c>
      <c r="C17" s="3" t="inlineStr">
        <is>
          <t>Athletics</t>
        </is>
      </c>
      <c r="D17" s="4">
        <f>IMAGE("https://img.mlbstatic.com/mlb-images/image/private/t_4x5/t_w372/mlb/lym1epswyhsopyyhoxrq.jpg")</f>
        <v/>
      </c>
    </row>
    <row r="18" ht="123" customHeight="1" s="8">
      <c r="A18" s="2" t="n">
        <v>38928</v>
      </c>
      <c r="B18" s="3" t="inlineStr">
        <is>
          <t>Dan Haren</t>
        </is>
      </c>
      <c r="C18" s="3" t="inlineStr">
        <is>
          <t>Athletics</t>
        </is>
      </c>
      <c r="D18" s="4">
        <f>IMAGE("https://img.mlbstatic.com/mlb-images/image/private/t_4x5/t_w372/mlb/zwwidd7flhiug3d3myji.jpg")</f>
        <v/>
      </c>
    </row>
    <row r="19" ht="123" customHeight="1" s="8">
      <c r="A19" s="2" t="n">
        <v>38965</v>
      </c>
      <c r="B19" s="3" t="inlineStr">
        <is>
          <t>Frank Thomas</t>
        </is>
      </c>
      <c r="C19" s="3" t="inlineStr">
        <is>
          <t>Athletics</t>
        </is>
      </c>
      <c r="D19" s="4">
        <f>IMAGE("https://img.mlbstatic.com/mlb-images/image/private/t_4x5/t_w372/mlb/nh4m7fpavgf7guipytcf.jpg")</f>
        <v/>
      </c>
    </row>
    <row r="20" ht="123" customHeight="1" s="8">
      <c r="A20" s="2" t="n">
        <v>39200</v>
      </c>
      <c r="B20" s="3" t="inlineStr">
        <is>
          <t>Eric Chavez (6 Gold Gloves - Non Gold)</t>
        </is>
      </c>
      <c r="C20" s="3" t="inlineStr">
        <is>
          <t>Athletics</t>
        </is>
      </c>
      <c r="D20" s="4">
        <f>IMAGE("https://img.mlbstatic.com/mlb-images/image/private/t_4x5/t_w372/mlb/zlnzkeyvtg5n6mdryphs.jpg")</f>
        <v/>
      </c>
    </row>
    <row r="21" ht="123" customHeight="1" s="8">
      <c r="A21" s="2" t="n">
        <v>39231</v>
      </c>
      <c r="B21" s="3" t="inlineStr">
        <is>
          <t>Milton Bradley</t>
        </is>
      </c>
      <c r="C21" s="3" t="inlineStr">
        <is>
          <t>Athletics</t>
        </is>
      </c>
      <c r="D21" s="4">
        <f>IMAGE("https://img.mlbstatic.com/mlb-images/image/private/t_4x5/t_w372/mlb/ionl6uygcdkbrnsvebnu.jpg")</f>
        <v/>
      </c>
    </row>
    <row r="22" ht="123" customHeight="1" s="8">
      <c r="A22" s="2" t="n">
        <v>39284</v>
      </c>
      <c r="B22" s="3" t="inlineStr">
        <is>
          <t>Mike Piazza</t>
        </is>
      </c>
      <c r="C22" s="3" t="inlineStr">
        <is>
          <t>Athletics</t>
        </is>
      </c>
      <c r="D22" s="4">
        <f>IMAGE("https://img.mlbstatic.com/mlb-images/image/private/t_4x5/t_w372/mlb/a72dyx6jjtaz4d6m5n86.jpg")</f>
        <v/>
      </c>
    </row>
    <row r="23" ht="123" customHeight="1" s="8">
      <c r="A23" s="2" t="n">
        <v>39322</v>
      </c>
      <c r="B23" s="3" t="inlineStr">
        <is>
          <t>Mark Ellis</t>
        </is>
      </c>
      <c r="C23" s="3" t="inlineStr">
        <is>
          <t>Athletics</t>
        </is>
      </c>
      <c r="D23" s="4">
        <f>IMAGE("https://img.mlbstatic.com/mlb-images/image/private/t_4x5/t_w372/mlb/eblw19jruroydudqo6xq.jpg")</f>
        <v/>
      </c>
    </row>
    <row r="24" ht="123" customHeight="1" s="8">
      <c r="A24" s="2" t="n">
        <v>39557</v>
      </c>
      <c r="B24" s="3" t="inlineStr">
        <is>
          <t>Travis Buck</t>
        </is>
      </c>
      <c r="C24" s="3" t="inlineStr">
        <is>
          <t>Athletics</t>
        </is>
      </c>
      <c r="D24" s="4">
        <f>IMAGE("https://img.mlbstatic.com/mlb-images/image/private/t_4x5/t_w372/mlb/cl1jltcebdehgitdnfsb.jpg")</f>
        <v/>
      </c>
    </row>
    <row r="25" ht="123" customHeight="1" s="8">
      <c r="A25" s="2" t="n">
        <v>39942</v>
      </c>
      <c r="B25" s="3" t="inlineStr">
        <is>
          <t>Justin Duchscherer (All-Star)</t>
        </is>
      </c>
      <c r="C25" s="3" t="inlineStr">
        <is>
          <t>Athletics</t>
        </is>
      </c>
      <c r="D25" s="4">
        <f>IMAGE("https://img.mlbstatic.com/mlb-images/image/private/t_4x5/t_w372/mlb/lrjadtjgdmrodxhpg1nr.jpg")</f>
        <v/>
      </c>
    </row>
    <row r="26" ht="123" customHeight="1" s="8">
      <c r="A26" s="2" t="n">
        <v>40285</v>
      </c>
      <c r="B26" s="3" t="inlineStr">
        <is>
          <t>Roy Steele</t>
        </is>
      </c>
      <c r="C26" s="3" t="inlineStr">
        <is>
          <t>Athletics</t>
        </is>
      </c>
      <c r="D26" s="4">
        <f>IMAGE("https://img.mlbstatic.com/mlb-images/image/private/t_4x5/t_w372/mlb/fw1p8j2kqj5icyri8bvd.jpg")</f>
        <v/>
      </c>
    </row>
    <row r="27" ht="123" customHeight="1" s="8">
      <c r="A27" s="2" t="n">
        <v>40768</v>
      </c>
      <c r="B27" s="3" t="inlineStr">
        <is>
          <t>Ray Fosse</t>
        </is>
      </c>
      <c r="C27" s="3" t="inlineStr">
        <is>
          <t>Athletics</t>
        </is>
      </c>
      <c r="D27" s="4">
        <f>IMAGE("https://img.mlbstatic.com/mlb-images/image/private/t_4x5/t_w372/mlb/jz8hnjrjnxqtfrxunls0.jpg")</f>
        <v/>
      </c>
    </row>
    <row r="28" ht="123" customHeight="1" s="8">
      <c r="A28" s="2" t="n">
        <v>41748</v>
      </c>
      <c r="B28" s="3" t="inlineStr">
        <is>
          <t>Josh Donaldson Tarp Catch Diorama</t>
        </is>
      </c>
      <c r="C28" s="3" t="inlineStr">
        <is>
          <t>Athletics</t>
        </is>
      </c>
      <c r="D28" s="4">
        <f>IMAGE("https://img.mlbstatic.com/mlb-images/image/private/t_4x5/t_w372/mlb/oienr5hw9l2jgqomgkub.jpg")</f>
        <v/>
      </c>
    </row>
    <row r="29" ht="123" customHeight="1" s="8">
      <c r="A29" s="2" t="n">
        <v>42861</v>
      </c>
      <c r="B29" s="3" t="inlineStr">
        <is>
          <t>Bob Melvin</t>
        </is>
      </c>
      <c r="C29" s="3" t="inlineStr">
        <is>
          <t>Athletics</t>
        </is>
      </c>
      <c r="D29" s="4">
        <f>IMAGE("https://img.mlbstatic.com/mlb-images/image/private/t_4x5/t_w372/mlb/xfoiqsisc98ijaqx1nha.jpg")</f>
        <v/>
      </c>
    </row>
    <row r="30" ht="123" customHeight="1" s="8">
      <c r="A30" s="2" t="n">
        <v>43364</v>
      </c>
      <c r="B30" s="3" t="inlineStr">
        <is>
          <t>Sean Manaea (No-Hitter)</t>
        </is>
      </c>
      <c r="C30" s="3" t="inlineStr">
        <is>
          <t>Athletics</t>
        </is>
      </c>
      <c r="D30" s="4">
        <f>IMAGE("https://img.mlbstatic.com/mlb-images/image/private/t_4x5/t_w372/mlb/idsawtefrwe9yxqoggm4.jpg")</f>
        <v/>
      </c>
    </row>
    <row r="31" ht="123" customHeight="1" s="8">
      <c r="A31" s="2" t="n">
        <v>43575</v>
      </c>
      <c r="B31" s="3" t="inlineStr">
        <is>
          <t>Matt Chapman Gold Glove</t>
        </is>
      </c>
      <c r="C31" s="3" t="inlineStr">
        <is>
          <t>Athletics</t>
        </is>
      </c>
      <c r="D31" s="4">
        <f>IMAGE("https://img.mlbstatic.com/mlb-images/image/private/t_4x5/t_w372/mlb/bhikd0nfog0nitgijkun.jpg")</f>
        <v/>
      </c>
    </row>
    <row r="32" ht="123" customHeight="1" s="8">
      <c r="A32" s="2" t="n">
        <v>43728</v>
      </c>
      <c r="B32" s="3" t="inlineStr">
        <is>
          <t>Mike Fiers (No-Hitter)</t>
        </is>
      </c>
      <c r="C32" s="3" t="inlineStr">
        <is>
          <t>Athletics</t>
        </is>
      </c>
      <c r="D32" s="4">
        <f>IMAGE("https://img.mlbstatic.com/mlb-images/image/private/t_4x5/t_w372/mlb/p2wbhqia1sxqzvywieol.jpg")</f>
        <v/>
      </c>
    </row>
    <row r="33" ht="123" customHeight="1" s="8">
      <c r="A33" s="2" t="n">
        <v>43730</v>
      </c>
      <c r="B33" s="3" t="inlineStr">
        <is>
          <t>Ramon "Laser" Laureano</t>
        </is>
      </c>
      <c r="C33" s="3" t="inlineStr">
        <is>
          <t>Athletics</t>
        </is>
      </c>
      <c r="D33" s="4">
        <f>IMAGE("https://img.mlbstatic.com/mlb-images/image/private/t_4x5/t_w372/mlb/ko9cl8gcinlqn3x02yw2.jpg")</f>
        <v/>
      </c>
    </row>
    <row r="34" ht="123" customHeight="1" s="8">
      <c r="A34" s="2" t="n">
        <v>45050</v>
      </c>
      <c r="B34" s="3" t="inlineStr">
        <is>
          <t>Mark Kotsay Mandalorian (Star Wars)</t>
        </is>
      </c>
      <c r="C34" s="3" t="inlineStr">
        <is>
          <t>Athletics</t>
        </is>
      </c>
      <c r="D34" s="4">
        <f>IMAGE("https://img.mlbstatic.com/mlb-images/image/upload/t_4x5/t_w372/mlb/svfuznysewnpkozzeue6.jpg")</f>
        <v/>
      </c>
    </row>
    <row r="35" ht="123" customHeight="1" s="8">
      <c r="A35" s="2" t="n">
        <v>45480</v>
      </c>
      <c r="B35" s="3" t="inlineStr">
        <is>
          <t>Rollie Fingers</t>
        </is>
      </c>
      <c r="C35" s="3" t="inlineStr">
        <is>
          <t>Athletics</t>
        </is>
      </c>
      <c r="D35" s="4">
        <f>IMAGE("https://img.mlbstatic.com/mlb-images/image/upload/t_4x5/t_w372/mlb/qx1vedugglurrzzvznxx.png")</f>
        <v/>
      </c>
    </row>
    <row r="36" ht="123" customHeight="1" s="8">
      <c r="A36" s="2" t="n">
        <v>45512</v>
      </c>
      <c r="B36" s="3" t="inlineStr">
        <is>
          <t>Vida Blue</t>
        </is>
      </c>
      <c r="C36" s="3" t="inlineStr">
        <is>
          <t>Athletics</t>
        </is>
      </c>
      <c r="D36" s="4">
        <f>IMAGE("https://img.mlbstatic.com/mlb-images/image/upload/t_4x5/t_w372/mlb/zjhtg8gsqibehbhpkk9j.png")</f>
        <v/>
      </c>
    </row>
    <row r="37" ht="123" customHeight="1" s="8">
      <c r="A37" s="2" t="n">
        <v>45816</v>
      </c>
      <c r="B37" s="3" t="inlineStr">
        <is>
          <t>Brent Rooker</t>
        </is>
      </c>
      <c r="C37" s="3" t="inlineStr">
        <is>
          <t>Athletics</t>
        </is>
      </c>
      <c r="D37" s="4">
        <f>IMAGE("https://bullpenbobbles.com/wp-content/uploads/Brent-Rooker-Oakland-Athletics-2025.jpg")</f>
        <v/>
      </c>
    </row>
    <row r="38" ht="123" customHeight="1" s="8">
      <c r="A38" s="2" t="n">
        <v>45816</v>
      </c>
      <c r="B38" s="3" t="inlineStr">
        <is>
          <t>Brent Rooker (Silver Slugger)</t>
        </is>
      </c>
      <c r="C38" s="3" t="inlineStr">
        <is>
          <t>Athletics</t>
        </is>
      </c>
      <c r="D38" s="4">
        <f>IMAGE("https://preview.redd.it/o5z2upqeas5f1.png?width=1080&amp;crop=smart&amp;auto=webp&amp;s=76f59a8a5cf7d96240c69e7f440abb457dab48d7")</f>
        <v/>
      </c>
    </row>
    <row r="39" ht="123" customHeight="1" s="8">
      <c r="A39" s="2" t="n">
        <v>45830</v>
      </c>
      <c r="B39" s="3" t="inlineStr">
        <is>
          <t>Mason Miller</t>
        </is>
      </c>
      <c r="C39" s="3" t="inlineStr">
        <is>
          <t>Athletics</t>
        </is>
      </c>
      <c r="D39" s="4">
        <f>IMAGE("https://bullpenbobbles.com/wp-content/uploads/Mason-Miller-Oakland-Athletics-2025.jpg")</f>
        <v/>
      </c>
    </row>
    <row r="40" ht="123" customHeight="1" s="8">
      <c r="A40" s="2" t="n">
        <v>45848</v>
      </c>
      <c r="B40" s="3" t="inlineStr">
        <is>
          <t>Lawrence Butler</t>
        </is>
      </c>
      <c r="C40" s="3" t="inlineStr">
        <is>
          <t>Athletics</t>
        </is>
      </c>
      <c r="D40" s="4">
        <f>IMAGE("https://pbs.twimg.com/media/Gvf2v3fakAQwy46.jpg")</f>
        <v/>
      </c>
    </row>
    <row r="41" ht="123" customHeight="1" s="8">
      <c r="A41" s="3" t="inlineStr">
        <is>
          <t>N/A</t>
        </is>
      </c>
      <c r="B41" s="3" t="inlineStr">
        <is>
          <t>Rollie Fingers Cooperstown Collection</t>
        </is>
      </c>
      <c r="C41" s="3" t="inlineStr">
        <is>
          <t>Athletics</t>
        </is>
      </c>
      <c r="D41" s="4">
        <f>IMAGE("https://www.kevinsavagecards.com/ItemImages/000295/295680a_lg.jpeg")</f>
        <v/>
      </c>
    </row>
    <row r="42" ht="123" customHeight="1" s="8">
      <c r="A42" s="2" t="n">
        <v>44775</v>
      </c>
      <c r="B42" s="3" t="inlineStr">
        <is>
          <t>Eddie Rosario NLCS MVP</t>
        </is>
      </c>
      <c r="C42" s="3" t="inlineStr">
        <is>
          <t>Braves</t>
        </is>
      </c>
      <c r="D42" s="4" t="n"/>
    </row>
    <row r="43" ht="123" customHeight="1" s="8">
      <c r="A43" s="2" t="n">
        <v>38150</v>
      </c>
      <c r="B43" s="3" t="inlineStr">
        <is>
          <t>Scott Podsednik</t>
        </is>
      </c>
      <c r="C43" s="3" t="inlineStr">
        <is>
          <t>Brewers</t>
        </is>
      </c>
      <c r="D43" s="4" t="n"/>
    </row>
    <row r="44" ht="123" customHeight="1" s="8">
      <c r="A44" s="2" t="n">
        <v>40356</v>
      </c>
      <c r="B44" s="3" t="inlineStr">
        <is>
          <t>Cecil Cooper 1980's</t>
        </is>
      </c>
      <c r="C44" s="3" t="inlineStr">
        <is>
          <t>Brewers</t>
        </is>
      </c>
      <c r="D44" s="4" t="n"/>
    </row>
    <row r="45" ht="123" customHeight="1" s="8">
      <c r="A45" s="2" t="n">
        <v>40706</v>
      </c>
      <c r="B45" s="3" t="inlineStr">
        <is>
          <t>Zack Greinke</t>
        </is>
      </c>
      <c r="C45" s="3" t="inlineStr">
        <is>
          <t>Brewers</t>
        </is>
      </c>
      <c r="D45" s="4" t="n"/>
    </row>
    <row r="46" ht="123" customHeight="1" s="8">
      <c r="A46" s="2" t="n">
        <v>41021</v>
      </c>
      <c r="B46" s="3" t="inlineStr">
        <is>
          <t>Jonathan Lucroy</t>
        </is>
      </c>
      <c r="C46" s="3" t="inlineStr">
        <is>
          <t>Brewers</t>
        </is>
      </c>
      <c r="D46" s="4" t="n"/>
    </row>
    <row r="47" ht="123" customHeight="1" s="8">
      <c r="A47" s="2" t="n">
        <v>41042</v>
      </c>
      <c r="B47" s="3" t="inlineStr">
        <is>
          <t>Yovani Gallardo</t>
        </is>
      </c>
      <c r="C47" s="3" t="inlineStr">
        <is>
          <t>Brewers</t>
        </is>
      </c>
      <c r="D47" s="4" t="n"/>
    </row>
    <row r="48" ht="123" customHeight="1" s="8">
      <c r="A48" s="2" t="n">
        <v>41532</v>
      </c>
      <c r="B48" s="3" t="inlineStr">
        <is>
          <t>Ben Oglivie</t>
        </is>
      </c>
      <c r="C48" s="3" t="inlineStr">
        <is>
          <t>Brewers</t>
        </is>
      </c>
      <c r="D48" s="4" t="n"/>
    </row>
    <row r="49" ht="123" customHeight="1" s="8">
      <c r="A49" s="2" t="n">
        <v>41805</v>
      </c>
      <c r="B49" s="3" t="inlineStr">
        <is>
          <t>Vintage Brewer</t>
        </is>
      </c>
      <c r="C49" s="3" t="inlineStr">
        <is>
          <t>Brewers</t>
        </is>
      </c>
      <c r="D49" s="4" t="n"/>
    </row>
    <row r="50" ht="123" customHeight="1" s="8">
      <c r="A50" s="2" t="n">
        <v>43247</v>
      </c>
      <c r="B50" s="3" t="inlineStr">
        <is>
          <t>Travis Shaw Mayor of Dong City</t>
        </is>
      </c>
      <c r="C50" s="3" t="inlineStr">
        <is>
          <t>Brewers</t>
        </is>
      </c>
      <c r="D50" s="4" t="n"/>
    </row>
    <row r="51" ht="123" customHeight="1" s="8">
      <c r="A51" s="2" t="n">
        <v>43625</v>
      </c>
      <c r="B51" s="3" t="inlineStr">
        <is>
          <t>Christian Yelich NL MVP</t>
        </is>
      </c>
      <c r="C51" s="3" t="inlineStr">
        <is>
          <t>Brewers</t>
        </is>
      </c>
      <c r="D51" s="4" t="n"/>
    </row>
    <row r="52" ht="123" customHeight="1" s="8">
      <c r="A52" s="2" t="n">
        <v>44444</v>
      </c>
      <c r="B52" s="3" t="inlineStr">
        <is>
          <t>Ryan Braun (50th Anniversary)</t>
        </is>
      </c>
      <c r="C52" s="3" t="inlineStr">
        <is>
          <t>Brewers</t>
        </is>
      </c>
      <c r="D52" s="4">
        <f>IMAGE("https://i.ebayimg.com/images/g/m9EAAOSwhDRh4135/s-l1200.jpg")</f>
        <v/>
      </c>
    </row>
    <row r="53" ht="123" customHeight="1" s="8">
      <c r="A53" s="2" t="n">
        <v>44766</v>
      </c>
      <c r="B53" s="3" t="inlineStr">
        <is>
          <t>Omar Narvaez</t>
        </is>
      </c>
      <c r="C53" s="3" t="inlineStr">
        <is>
          <t>Brewers</t>
        </is>
      </c>
      <c r="D53" s="4" t="n"/>
    </row>
    <row r="54" ht="123" customHeight="1" s="8">
      <c r="A54" s="2" t="n">
        <v>46123</v>
      </c>
      <c r="B54" s="3" t="inlineStr">
        <is>
          <t>Jacob Misiorowski Baseball Card</t>
        </is>
      </c>
      <c r="C54" s="3" t="inlineStr">
        <is>
          <t>Brewers</t>
        </is>
      </c>
      <c r="D54" s="4" t="n"/>
    </row>
    <row r="55" ht="123" customHeight="1" s="8">
      <c r="A55" s="2" t="n">
        <v>45521</v>
      </c>
      <c r="B55" s="3" t="inlineStr">
        <is>
          <t>Scott Rolen</t>
        </is>
      </c>
      <c r="C55" s="3" t="inlineStr">
        <is>
          <t>Cardinals</t>
        </is>
      </c>
      <c r="D55" s="4">
        <f>IMAGE("https://i.ebayimg.com/00/s/MTYwMFgxNjAw/z/3d4AAOSwOh5mgh6u/$_57.JPG?set_id=880000500F")</f>
        <v/>
      </c>
    </row>
    <row r="56" ht="123" customHeight="1" s="8">
      <c r="A56" s="2" t="n">
        <v>45862</v>
      </c>
      <c r="B56" s="3" t="inlineStr">
        <is>
          <t>Ozzie Smith Backflip</t>
        </is>
      </c>
      <c r="C56" s="3" t="inlineStr">
        <is>
          <t>Cardinals</t>
        </is>
      </c>
      <c r="D56" s="4">
        <f>IMAGE("https://encrypted-tbn0.gstatic.com/images?q=tbn:ANd9GcTCKMf6-EPC5xt3PX_fnCbNF5WIzZaCPTwuvg&amp;s")</f>
        <v/>
      </c>
    </row>
    <row r="57" ht="123" customHeight="1" s="8">
      <c r="A57" s="2" t="n">
        <v>39945</v>
      </c>
      <c r="B57" s="3" t="inlineStr">
        <is>
          <t>Ernie Banks MVP 1958-59</t>
        </is>
      </c>
      <c r="C57" s="3" t="inlineStr">
        <is>
          <t>Cubs</t>
        </is>
      </c>
      <c r="D57" s="4" t="n"/>
    </row>
    <row r="58" ht="123" customHeight="1" s="8">
      <c r="A58" s="2" t="n">
        <v>41400</v>
      </c>
      <c r="B58" s="3" t="inlineStr">
        <is>
          <t>Barry Zito</t>
        </is>
      </c>
      <c r="C58" s="3" t="inlineStr">
        <is>
          <t>Giants</t>
        </is>
      </c>
      <c r="D58" s="4">
        <f>IMAGE("http://www.stadiumgiveawayexchange.com/wp-content/uploads/2013/08/Giants052613-Bobblehead.jpg.webp")</f>
        <v/>
      </c>
    </row>
    <row r="59" ht="123" customHeight="1" s="8">
      <c r="A59" s="2" t="n">
        <v>42168</v>
      </c>
      <c r="B59" s="3" t="inlineStr">
        <is>
          <t>Jeremy Affeldt</t>
        </is>
      </c>
      <c r="C59" s="3" t="inlineStr">
        <is>
          <t>Giants</t>
        </is>
      </c>
      <c r="D59" s="4">
        <f>IMAGE("https://u-mercari-images.mercdn.net/photos/m68839241196_1.jpg")</f>
        <v/>
      </c>
    </row>
    <row r="60" ht="123" customHeight="1" s="8">
      <c r="A60" s="2" t="n">
        <v>42991</v>
      </c>
      <c r="B60" s="3" t="inlineStr">
        <is>
          <t>Frank Robinson</t>
        </is>
      </c>
      <c r="C60" s="3" t="inlineStr">
        <is>
          <t>Giants</t>
        </is>
      </c>
      <c r="D60" s="4">
        <f>IMAGE("https://i.pinimg.com/736x/95/d1/a7/95d1a77e3017c94e1e2b6cb372953aee.jpg")</f>
        <v/>
      </c>
    </row>
    <row r="61" ht="123" customHeight="1" s="8">
      <c r="A61" s="2" t="n">
        <v>39340</v>
      </c>
      <c r="B61" s="3" t="inlineStr">
        <is>
          <t>Travis Hafner WWE Stone Cold</t>
        </is>
      </c>
      <c r="C61" s="3" t="inlineStr">
        <is>
          <t>Guardians</t>
        </is>
      </c>
      <c r="D61" s="4" t="n"/>
    </row>
    <row r="62" ht="123" customHeight="1" s="8">
      <c r="A62" s="2" t="n">
        <v>40320</v>
      </c>
      <c r="B62" s="3" t="inlineStr">
        <is>
          <t>Slider OHIO Mascot</t>
        </is>
      </c>
      <c r="C62" s="3" t="inlineStr">
        <is>
          <t>Guardians</t>
        </is>
      </c>
      <c r="D62" s="4" t="n"/>
    </row>
    <row r="63" ht="123" customHeight="1" s="8">
      <c r="A63" s="2" t="n">
        <v>40642</v>
      </c>
      <c r="B63" s="3" t="inlineStr">
        <is>
          <t>Troy Tulowitski</t>
        </is>
      </c>
      <c r="C63" s="3" t="inlineStr">
        <is>
          <t>Long Beach State</t>
        </is>
      </c>
      <c r="D63" s="4">
        <f>IMAGE("https://www.picclickimg.com/LW8AAOSwUT5mxaHP/Troy-Tulowitzki-Bobblehead-Long-Beach-Colorado-Rockies.webp")</f>
        <v/>
      </c>
    </row>
    <row r="64" ht="123" customHeight="1" s="8">
      <c r="A64" s="3" t="e">
        <v>#VALUE!</v>
      </c>
      <c r="B64" s="3" t="inlineStr">
        <is>
          <t>Jered Weaver</t>
        </is>
      </c>
      <c r="C64" s="3" t="inlineStr">
        <is>
          <t>Long Beach State</t>
        </is>
      </c>
      <c r="D64" s="4">
        <f>IMAGE("https://u-mercari-images.mercdn.net/photos/m24889189721_3.jpg")</f>
        <v/>
      </c>
    </row>
    <row r="65" ht="123" customHeight="1" s="8">
      <c r="A65" s="2" t="n">
        <v>39563</v>
      </c>
      <c r="B65" s="3" t="inlineStr">
        <is>
          <t>Ichiro Suzuki</t>
        </is>
      </c>
      <c r="C65" s="3" t="inlineStr">
        <is>
          <t>Mariners</t>
        </is>
      </c>
      <c r="D65" s="4">
        <f>IMAGE("https://images.pristineauction.com/247/2479607/share_1663691668-Ichiro-Suzuki-2008-UW-Medicine-Mariners-Bobblehead-PristineAuction.com.jpg")</f>
        <v/>
      </c>
    </row>
    <row r="66" ht="123" customHeight="1" s="8">
      <c r="A66" s="2" t="n">
        <v>41802</v>
      </c>
      <c r="B66" s="3" t="inlineStr">
        <is>
          <t>Macklemore</t>
        </is>
      </c>
      <c r="C66" s="3" t="inlineStr">
        <is>
          <t>Mariners</t>
        </is>
      </c>
      <c r="D66" s="4">
        <f>IMAGE("https://www.stadiumgiveawayexchange.com/wp-content/uploads/2014/06/Seattle-Mariner-Macklemore-Bobblehead-61214.jpg")</f>
        <v/>
      </c>
    </row>
    <row r="67" ht="123" customHeight="1" s="8">
      <c r="A67" s="2" t="n">
        <v>41088</v>
      </c>
      <c r="B67" s="3" t="inlineStr">
        <is>
          <t>Stephen Strasburg</t>
        </is>
      </c>
      <c r="C67" s="3" t="inlineStr">
        <is>
          <t>Nationals</t>
        </is>
      </c>
      <c r="D67" s="4">
        <f>IMAGE("https://i.ebayimg.com/images/g/09IAAOSwuHRim2XG/s-l400.jpg")</f>
        <v/>
      </c>
    </row>
    <row r="68" ht="123" customHeight="1" s="8">
      <c r="A68" s="2" t="n">
        <v>43281</v>
      </c>
      <c r="B68" s="3" t="inlineStr">
        <is>
          <t>Trevor Hoffman</t>
        </is>
      </c>
      <c r="C68" s="3" t="inlineStr">
        <is>
          <t>Padres</t>
        </is>
      </c>
      <c r="D68" s="4">
        <f>IMAGE("https://images.pristineauction.com/142/1428742/1581727283-Trevor-Hoffman-Signed-Padres-Bobblehead-PSA-Hologram-PristineAuction.com.jpg")</f>
        <v/>
      </c>
    </row>
    <row r="69" ht="123" customHeight="1" s="8">
      <c r="A69" s="2" t="n">
        <v>37142</v>
      </c>
      <c r="B69" s="3" t="inlineStr">
        <is>
          <t>Roberto Clemente</t>
        </is>
      </c>
      <c r="C69" s="3" t="inlineStr">
        <is>
          <t>Pirates</t>
        </is>
      </c>
      <c r="D69" s="4">
        <f>IMAGE("https://images.saymedia-content.com/.image/t_share/MTk0Nzk4NDYyMDk2MjU0MTE0/the-definitive-pittsburgh-pirates-bobblehead-list.jpg")</f>
        <v/>
      </c>
    </row>
    <row r="70" ht="123" customHeight="1" s="8">
      <c r="A70" s="2" t="n">
        <v>45072</v>
      </c>
      <c r="B70" s="3" t="inlineStr">
        <is>
          <t>Dustin May</t>
        </is>
      </c>
      <c r="C70" s="3" t="inlineStr">
        <is>
          <t>Rancho Cucamonga Quakes</t>
        </is>
      </c>
      <c r="D70" s="4">
        <f>IMAGE("https://bullpenbobbles.com/wp-content/uploads/Dustin-May-Rancho-Cucamonga-Quakes-2023.jpg")</f>
        <v/>
      </c>
    </row>
    <row r="71" ht="123" customHeight="1" s="8">
      <c r="A71" s="2" t="n">
        <v>45429</v>
      </c>
      <c r="B71" s="3" t="inlineStr">
        <is>
          <t>Jared &amp; Eric Karros</t>
        </is>
      </c>
      <c r="C71" s="3" t="inlineStr">
        <is>
          <t>Rancho Cucamonga Quakes</t>
        </is>
      </c>
      <c r="D71" s="4">
        <f>IMAGE("https://bullpenbobbles.com/wp-content/uploads/Jared-Eric-Karros-Rancho-Cucamonga-Quakes-2024.jpg")</f>
        <v/>
      </c>
    </row>
    <row r="72" ht="123" customHeight="1" s="8">
      <c r="A72" s="3" t="inlineStr">
        <is>
          <t>N/A</t>
        </is>
      </c>
      <c r="B72" s="3" t="inlineStr">
        <is>
          <t>Dalton Rushing</t>
        </is>
      </c>
      <c r="C72" s="3" t="inlineStr">
        <is>
          <t>Rancho Cucamonga Quakes</t>
        </is>
      </c>
      <c r="D72" s="4">
        <f>IMAGE("https://i.ebayimg.com/images/g/7XgAAeSwTpdpc-GZ/s-l500.png")</f>
        <v/>
      </c>
    </row>
    <row r="73" ht="123" customHeight="1" s="8">
      <c r="A73" s="2" t="n">
        <v>43675</v>
      </c>
      <c r="B73" s="3" t="inlineStr">
        <is>
          <t>Yasiel Puig WIld Horse</t>
        </is>
      </c>
      <c r="C73" s="3" t="inlineStr">
        <is>
          <t>Reds</t>
        </is>
      </c>
      <c r="D73" s="4">
        <f>IMAGE("https://encrypted-tbn0.gstatic.com/images?q=tbn:ANd9GcSnbfVJ0XfNwCS9oEoWYGTybZR5ph6naQ-y0A&amp;s")</f>
        <v/>
      </c>
    </row>
    <row r="74" ht="123" customHeight="1" s="8">
      <c r="A74" s="2" t="n">
        <v>42182</v>
      </c>
      <c r="B74" s="3" t="inlineStr">
        <is>
          <t>Nick Ahmed</t>
        </is>
      </c>
      <c r="C74" s="3" t="inlineStr">
        <is>
          <t>Reno Aces</t>
        </is>
      </c>
      <c r="D74" s="4">
        <f>IMAGE("https://bullpenbobbles.com/wp-content/uploads/Nick-Ahmed-Reno-Aces-2015.jpg")</f>
        <v/>
      </c>
    </row>
    <row r="75" ht="123" customHeight="1" s="8">
      <c r="A75" s="2" t="n">
        <v>43344</v>
      </c>
      <c r="B75" s="3" t="inlineStr">
        <is>
          <t>Didi Gregorious</t>
        </is>
      </c>
      <c r="C75" s="3" t="inlineStr">
        <is>
          <t>Reno Aces</t>
        </is>
      </c>
      <c r="D75" s="4">
        <f>IMAGE("https://encrypted-tbn3.gstatic.com/shopping?q=tbn:ANd9GcSmOIdTP1jCC9bqEiU2bsYbL12hjAdup4ZQu4xYHQh-osSZowEAYTIbMTfMXzjoRAE5O9hQbKZXvAOM9rQZ3hKpPBaYYLcJOxD_6F867Ns")</f>
        <v/>
      </c>
    </row>
    <row r="76" ht="123" customHeight="1" s="8">
      <c r="A76" s="2" t="n">
        <v>43253</v>
      </c>
      <c r="B76" s="3" t="inlineStr">
        <is>
          <t>Whit Merrifield (Two-Hit Whit)</t>
        </is>
      </c>
      <c r="C76" s="3" t="inlineStr">
        <is>
          <t>Royals</t>
        </is>
      </c>
      <c r="D76" s="4">
        <f>IMAGE("https://www.stadiumgiveawayexchange.com/wp-content/uploads/2018/06/Kansas-City-Royals-Whit-Merrifield-Bobblehead-6-2-2018.jpg")</f>
        <v/>
      </c>
    </row>
    <row r="77" ht="123" customHeight="1" s="8">
      <c r="A77" s="2" t="n">
        <v>45744</v>
      </c>
      <c r="B77" s="3" t="inlineStr">
        <is>
          <t xml:space="preserve">Heliot Ramos </t>
        </is>
      </c>
      <c r="C77" s="3" t="inlineStr">
        <is>
          <t>Sacramento Rivercats</t>
        </is>
      </c>
      <c r="D77" s="4">
        <f>IMAGE("https://bullpenbobbles.com/wp-content/uploads/Heliot-Ramos-Sacramento-River-Cats-2025.jpg")</f>
        <v/>
      </c>
    </row>
    <row r="78" ht="123" customHeight="1" s="8">
      <c r="A78" s="2" t="n">
        <v>38598</v>
      </c>
      <c r="B78" s="3" t="inlineStr">
        <is>
          <t>Bobby Crosby</t>
        </is>
      </c>
      <c r="C78" s="3" t="inlineStr">
        <is>
          <t>Stockton Ports</t>
        </is>
      </c>
      <c r="D78" s="4">
        <f>IMAGE("https://www.bobblesgalore.com/cdn/shop/products/bobbyc.jpg?v=1571607373")</f>
        <v/>
      </c>
    </row>
    <row r="79" ht="123" customHeight="1" s="8">
      <c r="A79" s="2" t="n">
        <v>40725</v>
      </c>
      <c r="B79" s="3" t="inlineStr">
        <is>
          <t>Grant Green</t>
        </is>
      </c>
      <c r="C79" s="3" t="inlineStr">
        <is>
          <t>Stockton Ports</t>
        </is>
      </c>
      <c r="D79" s="4">
        <f>IMAGE("https://bullpenbobbles.com/wp-content/uploads/Grant-Green-Stockton-Ports-2011.jpg")</f>
        <v/>
      </c>
    </row>
    <row r="80" ht="123" customHeight="1" s="8">
      <c r="A80" s="2" t="n">
        <v>41110</v>
      </c>
      <c r="B80" s="3" t="inlineStr">
        <is>
          <t>Jemile Weeks</t>
        </is>
      </c>
      <c r="C80" s="3" t="inlineStr">
        <is>
          <t>Stockton Ports</t>
        </is>
      </c>
      <c r="D80" s="4">
        <f>IMAGE("https://bullpenbobbles.com/wp-content/uploads/Jemile-Weeks-Stockton-Ports-2012.jpg")</f>
        <v/>
      </c>
    </row>
    <row r="81" ht="123" customHeight="1" s="8">
      <c r="A81" s="2" t="n">
        <v>41433</v>
      </c>
      <c r="B81" s="3" t="inlineStr">
        <is>
          <t>Miles Head</t>
        </is>
      </c>
      <c r="C81" s="3" t="inlineStr">
        <is>
          <t>Stockton Ports</t>
        </is>
      </c>
      <c r="D81" s="4">
        <f>IMAGE("https://bullpenbobbles.com/wp-content/uploads/Miles-Head-Stockton-Ports-2013.jpg")</f>
        <v/>
      </c>
    </row>
    <row r="82" ht="123" customHeight="1" s="8">
      <c r="A82" s="2" t="n">
        <v>41474</v>
      </c>
      <c r="B82" s="3" t="inlineStr">
        <is>
          <t>AJ Griffin</t>
        </is>
      </c>
      <c r="C82" s="3" t="inlineStr">
        <is>
          <t>Stockton Ports</t>
        </is>
      </c>
      <c r="D82" s="4">
        <f>IMAGE("https://bullpenbobbles.com/wp-content/uploads/AJ-Griffin-Stockton-Ports-2013.jpg")</f>
        <v/>
      </c>
    </row>
    <row r="83" ht="123" customHeight="1" s="8">
      <c r="A83" s="2" t="n">
        <v>41846</v>
      </c>
      <c r="B83" s="3" t="inlineStr">
        <is>
          <t>Sean Doolittle</t>
        </is>
      </c>
      <c r="C83" s="3" t="inlineStr">
        <is>
          <t>Stockton Ports</t>
        </is>
      </c>
      <c r="D83" s="4">
        <f>IMAGE("https://bullpenbobbles.com/wp-content/uploads/Sean-Doolittle-Stockton-Ports-2014.jpg")</f>
        <v/>
      </c>
    </row>
    <row r="84" ht="123" customHeight="1" s="8">
      <c r="A84" s="2" t="n">
        <v>42874</v>
      </c>
      <c r="B84" s="3" t="inlineStr">
        <is>
          <t>Addison Russell</t>
        </is>
      </c>
      <c r="C84" s="3" t="inlineStr">
        <is>
          <t>Stockton Ports</t>
        </is>
      </c>
      <c r="D84" s="4">
        <f>IMAGE("https://bullpenbobbles.com/wp-content/uploads/Addison-Russell-Stockton-Ports-2017.jpg")</f>
        <v/>
      </c>
    </row>
    <row r="85" ht="123" customHeight="1" s="8">
      <c r="A85" s="2" t="n">
        <v>43625</v>
      </c>
      <c r="B85" s="3" t="inlineStr">
        <is>
          <t>Blake Treinan</t>
        </is>
      </c>
      <c r="C85" s="3" t="inlineStr">
        <is>
          <t>Stockton Ports</t>
        </is>
      </c>
      <c r="D85" s="4">
        <f>IMAGE("https://bullpenbobbles.com/wp-content/uploads/Blake-Treinen-Stockton-Ports-2019.jpg")</f>
        <v/>
      </c>
    </row>
    <row r="86" ht="123" customHeight="1" s="8">
      <c r="A86" s="2" t="n">
        <v>43655</v>
      </c>
      <c r="B86" s="3" t="inlineStr">
        <is>
          <t>Lou Trevino</t>
        </is>
      </c>
      <c r="C86" s="3" t="inlineStr">
        <is>
          <t>Stockton Ports</t>
        </is>
      </c>
      <c r="D86" s="4">
        <f>IMAGE("https://bullpenbobbles.com/wp-content/uploads/Lou-Trivino-Stockton-Ports-2019.jpg")</f>
        <v/>
      </c>
    </row>
    <row r="87" ht="123" customHeight="1" s="8">
      <c r="A87" s="2" t="n">
        <v>43686</v>
      </c>
      <c r="B87" s="3" t="inlineStr">
        <is>
          <t>Max Muncy</t>
        </is>
      </c>
      <c r="C87" s="3" t="inlineStr">
        <is>
          <t>Stockton Ports</t>
        </is>
      </c>
      <c r="D87" s="4">
        <f>IMAGE("https://bullpenbobbles.com/wp-content/uploads/Max-Muncy-Stockton-Ports-2019.jpg")</f>
        <v/>
      </c>
    </row>
    <row r="88">
      <c r="A88" s="9" t="n">
        <v>44409</v>
      </c>
      <c r="B88" s="10" t="inlineStr">
        <is>
          <t>Sean Manaea (Giraffe)</t>
        </is>
      </c>
      <c r="C88" s="10" t="inlineStr">
        <is>
          <t>Stockton Ports</t>
        </is>
      </c>
      <c r="D88" s="10">
        <f>IMAGE("https://i.ebayimg.com/images/g/ddYAAOSwdzVg5MtK/s-l1200.jpg")</f>
        <v/>
      </c>
    </row>
    <row r="89">
      <c r="A89" s="9" t="n">
        <v>45100</v>
      </c>
      <c r="B89" s="10" t="inlineStr">
        <is>
          <t>Tyler Soderstrom</t>
        </is>
      </c>
      <c r="C89" s="10" t="inlineStr">
        <is>
          <t>Stockton Ports</t>
        </is>
      </c>
      <c r="D89" s="10">
        <f>IMAGE("https://i.ebayimg.com/00/s/MTYwMFgxMjAw/z/QIIAAOSwV7ZmG03I/$_12.JPG?set_id=880000500F")</f>
        <v/>
      </c>
    </row>
    <row r="90">
      <c r="A90" s="9" t="n">
        <v>45471</v>
      </c>
      <c r="B90" s="10" t="inlineStr">
        <is>
          <t>Nate Diaz</t>
        </is>
      </c>
      <c r="C90" s="10" t="inlineStr">
        <is>
          <t>Stockton Ports</t>
        </is>
      </c>
      <c r="D90" s="10">
        <f>IMAGE("https://pbs.twimg.com/media/GQJDhkHaIAAbByf.jpg")</f>
        <v/>
      </c>
    </row>
    <row r="91">
      <c r="A91" s="9" t="n">
        <v>45864</v>
      </c>
      <c r="B91" s="10" t="inlineStr">
        <is>
          <t>Aaron Judge</t>
        </is>
      </c>
      <c r="C91" s="10" t="inlineStr">
        <is>
          <t>Stockton Ports</t>
        </is>
      </c>
      <c r="D91" s="10">
        <f>IMAGE("https://bullpenbobbles.com/wp-content/uploads/Aaron-Judge-Stockton-Ports-2025.jpg")</f>
        <v/>
      </c>
    </row>
    <row r="92">
      <c r="A92" s="9" t="n">
        <v>42056</v>
      </c>
      <c r="B92" s="10" t="inlineStr">
        <is>
          <t>Ryan Constant (Hockey)</t>
        </is>
      </c>
      <c r="C92" s="10" t="inlineStr">
        <is>
          <t>Stockton Thunder</t>
        </is>
      </c>
      <c r="D92" s="10">
        <f>IMAGE("https://i.ebayimg.com/images/g/p6IAAeSwz59o4FJx/s-l1600.webp")</f>
        <v/>
      </c>
    </row>
    <row r="93">
      <c r="A93" s="9" t="n">
        <v>41126</v>
      </c>
      <c r="B93" s="10" t="inlineStr">
        <is>
          <t>Prince Fielder</t>
        </is>
      </c>
      <c r="C93" s="10" t="inlineStr">
        <is>
          <t>Tigers</t>
        </is>
      </c>
      <c r="D93" s="10">
        <f>IMAGE("https://m.media-amazon.com/images/I/81KXj65YxjL.jpg")</f>
        <v/>
      </c>
    </row>
    <row r="94">
      <c r="A94" s="9" t="n">
        <v>38808</v>
      </c>
      <c r="B94" s="10" t="inlineStr">
        <is>
          <t>Harmon Killebrew (STH Red Variant)</t>
        </is>
      </c>
      <c r="C94" s="10" t="inlineStr">
        <is>
          <t>Twins</t>
        </is>
      </c>
      <c r="D94" s="10">
        <f>IMAGE("https://i.ebayimg.com/00/s/MTU5OVgxMTk5/z/meMAAOSw8pxnhGQV/$_12.JPG?set_id=880000500F")</f>
        <v/>
      </c>
    </row>
    <row r="95">
      <c r="A95" s="9" t="n">
        <v>37360</v>
      </c>
      <c r="B95" s="10" t="inlineStr">
        <is>
          <t>Magglio Ordoñez</t>
        </is>
      </c>
      <c r="C95" s="10" t="inlineStr">
        <is>
          <t>White Sox</t>
        </is>
      </c>
      <c r="D95" s="10" t="n"/>
    </row>
    <row r="96">
      <c r="A96" s="9" t="n">
        <v>39670</v>
      </c>
      <c r="B96" s="10" t="inlineStr">
        <is>
          <t>Nick Swisher</t>
        </is>
      </c>
      <c r="C96" s="10" t="inlineStr">
        <is>
          <t>White Sox</t>
        </is>
      </c>
      <c r="D96" s="10" t="n"/>
    </row>
    <row r="97">
      <c r="A97" s="10" t="inlineStr">
        <is>
          <t>Pre-season 2010</t>
        </is>
      </c>
      <c r="B97" s="10" t="inlineStr">
        <is>
          <t>Jake Peavy</t>
        </is>
      </c>
      <c r="C97" s="10" t="inlineStr">
        <is>
          <t>White Sox</t>
        </is>
      </c>
      <c r="D97" s="10" t="n"/>
    </row>
    <row r="98">
      <c r="A98" s="9" t="n">
        <v>40449</v>
      </c>
      <c r="B98" s="10" t="inlineStr">
        <is>
          <t>Andruw Jones #25 Celebrating 400</t>
        </is>
      </c>
      <c r="C98" s="10" t="inlineStr">
        <is>
          <t>White Sox</t>
        </is>
      </c>
      <c r="D98" s="10" t="n"/>
    </row>
    <row r="99">
      <c r="A99" s="9" t="n">
        <v>40775</v>
      </c>
      <c r="B99" s="10" t="inlineStr">
        <is>
          <t>Mark Buehrle 56</t>
        </is>
      </c>
      <c r="C99" s="10" t="inlineStr">
        <is>
          <t>White Sox</t>
        </is>
      </c>
      <c r="D99" s="10" t="n"/>
    </row>
    <row r="100">
      <c r="A100" s="9" t="n">
        <v>41097</v>
      </c>
      <c r="B100" s="10" t="inlineStr">
        <is>
          <t>Alexei Ramirez</t>
        </is>
      </c>
      <c r="C100" s="10" t="inlineStr">
        <is>
          <t>White Sox</t>
        </is>
      </c>
      <c r="D100" s="10" t="n"/>
    </row>
    <row r="101">
      <c r="A101" s="9" t="n">
        <v>41773</v>
      </c>
      <c r="B101" s="10" t="inlineStr">
        <is>
          <t>Chris Sale</t>
        </is>
      </c>
      <c r="C101" s="10" t="inlineStr">
        <is>
          <t>White Sox</t>
        </is>
      </c>
      <c r="D101" s="10" t="n"/>
    </row>
    <row r="102">
      <c r="A102" s="9" t="n">
        <v>41881</v>
      </c>
      <c r="B102" s="10" t="inlineStr">
        <is>
          <t>Tony LaRussa 2014 HoF Inductee</t>
        </is>
      </c>
      <c r="C102" s="10" t="inlineStr">
        <is>
          <t>White Sox</t>
        </is>
      </c>
      <c r="D102" s="10" t="n"/>
    </row>
    <row r="103">
      <c r="A103" s="9" t="n">
        <v>42973</v>
      </c>
      <c r="B103" s="10" t="inlineStr">
        <is>
          <t>Star Wars Stormtrooper</t>
        </is>
      </c>
      <c r="C103" s="10" t="inlineStr">
        <is>
          <t>White Sox</t>
        </is>
      </c>
      <c r="D103" s="10" t="n"/>
    </row>
    <row r="104">
      <c r="A104" s="9" t="n">
        <v>43323</v>
      </c>
      <c r="B104" s="10" t="inlineStr">
        <is>
          <t>Jim Thome Hall of Fame</t>
        </is>
      </c>
      <c r="C104" s="10" t="inlineStr">
        <is>
          <t>White Sox</t>
        </is>
      </c>
      <c r="D104" s="10" t="n"/>
    </row>
    <row r="105">
      <c r="A105" s="9" t="n">
        <v>43687</v>
      </c>
      <c r="B105" s="10" t="inlineStr">
        <is>
          <t>Eloy Jimenez First Home Run</t>
        </is>
      </c>
      <c r="C105" s="10" t="inlineStr">
        <is>
          <t>White Sox</t>
        </is>
      </c>
      <c r="D105" s="10" t="n"/>
    </row>
    <row r="106">
      <c r="A106" s="9" t="n">
        <v>44374</v>
      </c>
      <c r="B106" s="10" t="inlineStr">
        <is>
          <t>Lucas Giolito X-Wing Pilot</t>
        </is>
      </c>
      <c r="C106" s="10" t="inlineStr">
        <is>
          <t>White Sox</t>
        </is>
      </c>
      <c r="D106" s="10" t="n"/>
    </row>
    <row r="107">
      <c r="A107" s="9" t="n">
        <v>44695</v>
      </c>
      <c r="B107" s="10" t="inlineStr">
        <is>
          <t>Tim Anderson Walk Off Homer</t>
        </is>
      </c>
      <c r="C107" s="10" t="inlineStr">
        <is>
          <t>White Sox</t>
        </is>
      </c>
      <c r="D107" s="10" t="n"/>
    </row>
    <row r="108">
      <c r="A108" s="9" t="n">
        <v>44737</v>
      </c>
      <c r="B108" s="10" t="inlineStr">
        <is>
          <t>Eloy &amp; Luis Catch</t>
        </is>
      </c>
      <c r="C108" s="10" t="inlineStr">
        <is>
          <t>White Sox</t>
        </is>
      </c>
      <c r="D108" s="10" t="n"/>
    </row>
    <row r="109">
      <c r="A109" s="9" t="n">
        <v>44746</v>
      </c>
      <c r="B109" s="10" t="inlineStr">
        <is>
          <t>Paul Konerko Captain America</t>
        </is>
      </c>
      <c r="C109" s="10" t="inlineStr">
        <is>
          <t>White Sox</t>
        </is>
      </c>
      <c r="D109" s="10" t="n"/>
    </row>
    <row r="110">
      <c r="A110" s="9" t="n">
        <v>45802</v>
      </c>
      <c r="B110" s="10" t="inlineStr">
        <is>
          <t>Charles Comiskey</t>
        </is>
      </c>
      <c r="C110" s="10" t="inlineStr">
        <is>
          <t>White Sox</t>
        </is>
      </c>
      <c r="D110" s="10" t="n"/>
    </row>
    <row r="111">
      <c r="A111" s="9" t="n">
        <v>45816</v>
      </c>
      <c r="B111" s="10" t="inlineStr">
        <is>
          <t>Ray Durham</t>
        </is>
      </c>
      <c r="C111" s="10" t="inlineStr">
        <is>
          <t>White Sox</t>
        </is>
      </c>
      <c r="D111" s="10" t="n"/>
    </row>
    <row r="112">
      <c r="A112" s="9" t="n">
        <v>45837</v>
      </c>
      <c r="B112" s="10" t="inlineStr">
        <is>
          <t>Luis Aparicio</t>
        </is>
      </c>
      <c r="C112" s="10" t="inlineStr">
        <is>
          <t>White Sox</t>
        </is>
      </c>
      <c r="D112" s="10" t="n"/>
    </row>
    <row r="113">
      <c r="A113" s="9" t="n">
        <v>45851</v>
      </c>
      <c r="B113" s="10" t="inlineStr">
        <is>
          <t>05 Hurlers-MB, JG, FG, JC</t>
        </is>
      </c>
      <c r="C113" s="10" t="inlineStr">
        <is>
          <t>White Sox</t>
        </is>
      </c>
      <c r="D113" s="10" t="n"/>
    </row>
    <row r="114">
      <c r="A114" s="9" t="n">
        <v>45878</v>
      </c>
      <c r="B114" s="10" t="inlineStr">
        <is>
          <t>Bill Veeck</t>
        </is>
      </c>
      <c r="C114" s="10" t="inlineStr">
        <is>
          <t>White Sox</t>
        </is>
      </c>
      <c r="D114" s="10" t="n"/>
    </row>
    <row r="115">
      <c r="A115" s="9" t="n">
        <v>45893</v>
      </c>
      <c r="B115" s="10" t="inlineStr">
        <is>
          <t>Ken Griffey Jr</t>
        </is>
      </c>
      <c r="C115" s="10" t="inlineStr">
        <is>
          <t>White Sox</t>
        </is>
      </c>
      <c r="D115" s="10" t="n"/>
    </row>
    <row r="116">
      <c r="A116" s="9" t="n">
        <v>45899</v>
      </c>
      <c r="B116" s="10" t="inlineStr">
        <is>
          <t>Babe Ruth &amp; Al Simmons</t>
        </is>
      </c>
      <c r="C116" s="10" t="inlineStr">
        <is>
          <t>White Sox</t>
        </is>
      </c>
      <c r="D116" s="10" t="n"/>
    </row>
    <row r="117">
      <c r="A117" s="9" t="n">
        <v>46117</v>
      </c>
      <c r="B117" s="10" t="inlineStr">
        <is>
          <t>Jenks + AJ Celebration</t>
        </is>
      </c>
      <c r="C117" s="10" t="inlineStr">
        <is>
          <t>White Sox</t>
        </is>
      </c>
      <c r="D117" s="10" t="n"/>
    </row>
    <row r="118">
      <c r="A118" s="9" t="n">
        <v>46136</v>
      </c>
      <c r="B118" s="10" t="inlineStr">
        <is>
          <t>Miguel Vargas</t>
        </is>
      </c>
      <c r="C118" s="10" t="inlineStr">
        <is>
          <t>White Sox</t>
        </is>
      </c>
      <c r="D118" s="10" t="n"/>
    </row>
    <row r="119">
      <c r="A119" s="9" t="n">
        <v>46172</v>
      </c>
      <c r="B119" s="10" t="inlineStr">
        <is>
          <t>Edgar Quero/Kyle Teel</t>
        </is>
      </c>
      <c r="C119" s="10" t="inlineStr">
        <is>
          <t>White Sox</t>
        </is>
      </c>
      <c r="D119" s="10" t="n"/>
    </row>
    <row r="120">
      <c r="A120" s="9" t="n">
        <v>46186</v>
      </c>
      <c r="B120" s="10" t="inlineStr">
        <is>
          <t>Colson Montgomery</t>
        </is>
      </c>
      <c r="C120" s="10" t="inlineStr">
        <is>
          <t>White Sox</t>
        </is>
      </c>
      <c r="D120" s="10" t="n"/>
    </row>
    <row r="121">
      <c r="A121" s="9" t="n">
        <v>46201</v>
      </c>
      <c r="B121" s="10" t="inlineStr">
        <is>
          <t>Kyle Teel WBC</t>
        </is>
      </c>
      <c r="C121" s="10" t="inlineStr">
        <is>
          <t>White Sox</t>
        </is>
      </c>
      <c r="D121" s="10" t="n"/>
    </row>
    <row r="122">
      <c r="A122" s="9" t="n">
        <v>46215</v>
      </c>
      <c r="B122" s="10" t="inlineStr">
        <is>
          <t>Munetaka Murakami WBC</t>
        </is>
      </c>
      <c r="C122" s="10" t="inlineStr">
        <is>
          <t>White Sox</t>
        </is>
      </c>
      <c r="D122" s="10" t="n"/>
    </row>
  </sheetData>
  <printOptions horizontalCentered="1" gridLines="1"/>
  <pageMargins left="0.7" right="0.7" top="0.75" bottom="0.75" header="0" footer="0"/>
  <pageSetup orientation="portrait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2026-07-14T20:47:41Z</dcterms:created>
  <dcterms:modified xsi:type="dcterms:W3CDTF">2026-07-14T20:47:41Z</dcterms:modified>
</cp:coreProperties>
</file>